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Bài lab\"/>
    </mc:Choice>
  </mc:AlternateContent>
  <xr:revisionPtr revIDLastSave="0" documentId="13_ncr:1_{F61D1960-53B8-4727-B6C2-11CA87DA4C02}" xr6:coauthVersionLast="47" xr6:coauthVersionMax="47" xr10:uidLastSave="{00000000-0000-0000-0000-000000000000}"/>
  <bookViews>
    <workbookView xWindow="-108" yWindow="-108" windowWidth="23256" windowHeight="12456" activeTab="6" xr2:uid="{03F63228-E208-49E3-A691-79EAB844FF8C}"/>
  </bookViews>
  <sheets>
    <sheet name="BT1" sheetId="1" r:id="rId1"/>
    <sheet name="DS DAU" sheetId="2" r:id="rId2"/>
    <sheet name="BT2" sheetId="3" r:id="rId3"/>
    <sheet name="BT3" sheetId="4" r:id="rId4"/>
    <sheet name="BT4" sheetId="5" r:id="rId5"/>
    <sheet name="BT5" sheetId="6" r:id="rId6"/>
    <sheet name="BT6" sheetId="7" r:id="rId7"/>
  </sheets>
  <definedNames>
    <definedName name="_xlnm._FilterDatabase" localSheetId="0" hidden="1">'BT1'!$B$4:$M$12</definedName>
    <definedName name="_xlnm._FilterDatabase" localSheetId="2" hidden="1">'BT2'!$B$3:$E$10</definedName>
    <definedName name="_xlnm._FilterDatabase" localSheetId="3" hidden="1">'BT3'!$A$1:$N$16</definedName>
    <definedName name="_xlnm._FilterDatabase" localSheetId="4" hidden="1">'BT4'!$A$4:$K$15</definedName>
    <definedName name="_xlnm._FilterDatabase" localSheetId="5" hidden="1">'BT5'!$A$4:$K$12</definedName>
    <definedName name="_xlnm._FilterDatabase" localSheetId="6" hidden="1">'BT6'!$A$3:$J$15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7" l="1"/>
  <c r="H9" i="7"/>
  <c r="H10" i="7"/>
  <c r="H11" i="7"/>
  <c r="H12" i="7"/>
  <c r="H13" i="7"/>
  <c r="H14" i="7"/>
  <c r="G8" i="7"/>
  <c r="I8" i="7" s="1"/>
  <c r="G4" i="7"/>
  <c r="I4" i="7" s="1"/>
  <c r="G9" i="7"/>
  <c r="I9" i="7" s="1"/>
  <c r="G10" i="7"/>
  <c r="I10" i="7" s="1"/>
  <c r="G15" i="7"/>
  <c r="I15" i="7" s="1"/>
  <c r="G11" i="7"/>
  <c r="I11" i="7" s="1"/>
  <c r="G12" i="7"/>
  <c r="I12" i="7" s="1"/>
  <c r="G6" i="7"/>
  <c r="I6" i="7" s="1"/>
  <c r="G13" i="7"/>
  <c r="I13" i="7" s="1"/>
  <c r="G14" i="7"/>
  <c r="I14" i="7" s="1"/>
  <c r="G7" i="7"/>
  <c r="I7" i="7" s="1"/>
  <c r="G5" i="7"/>
  <c r="I5" i="7" s="1"/>
  <c r="D6" i="7"/>
  <c r="H6" i="7" s="1"/>
  <c r="J6" i="7" s="1"/>
  <c r="D8" i="7"/>
  <c r="D4" i="7"/>
  <c r="H4" i="7" s="1"/>
  <c r="D9" i="7"/>
  <c r="D10" i="7"/>
  <c r="D15" i="7"/>
  <c r="H15" i="7" s="1"/>
  <c r="D11" i="7"/>
  <c r="D12" i="7"/>
  <c r="D13" i="7"/>
  <c r="D14" i="7"/>
  <c r="D7" i="7"/>
  <c r="H7" i="7" s="1"/>
  <c r="D5" i="7"/>
  <c r="H5" i="7" s="1"/>
  <c r="C5" i="7"/>
  <c r="C8" i="7"/>
  <c r="C4" i="7"/>
  <c r="C9" i="7"/>
  <c r="C10" i="7"/>
  <c r="C15" i="7"/>
  <c r="C11" i="7"/>
  <c r="C12" i="7"/>
  <c r="C6" i="7"/>
  <c r="C13" i="7"/>
  <c r="C14" i="7"/>
  <c r="C7" i="7"/>
  <c r="I26" i="6"/>
  <c r="H26" i="6"/>
  <c r="G26" i="6"/>
  <c r="I25" i="6"/>
  <c r="H25" i="6"/>
  <c r="G25" i="6"/>
  <c r="I24" i="6"/>
  <c r="H24" i="6"/>
  <c r="G24" i="6"/>
  <c r="I6" i="6"/>
  <c r="I7" i="6"/>
  <c r="I8" i="6"/>
  <c r="I9" i="6"/>
  <c r="I10" i="6"/>
  <c r="I11" i="6"/>
  <c r="I5" i="6"/>
  <c r="E12" i="6"/>
  <c r="H6" i="6"/>
  <c r="H7" i="6"/>
  <c r="H8" i="6"/>
  <c r="H9" i="6"/>
  <c r="H10" i="6"/>
  <c r="H11" i="6"/>
  <c r="H5" i="6"/>
  <c r="G6" i="6"/>
  <c r="G7" i="6"/>
  <c r="G8" i="6"/>
  <c r="G9" i="6"/>
  <c r="G10" i="6"/>
  <c r="G11" i="6"/>
  <c r="G5" i="6"/>
  <c r="J7" i="7" l="1"/>
  <c r="J15" i="7"/>
  <c r="J4" i="7"/>
  <c r="J12" i="7"/>
  <c r="J11" i="7"/>
  <c r="J14" i="7"/>
  <c r="J13" i="7"/>
  <c r="J10" i="7"/>
  <c r="J9" i="7"/>
  <c r="J8" i="7"/>
  <c r="J5" i="7"/>
  <c r="G12" i="6"/>
  <c r="J6" i="6" s="1"/>
  <c r="K6" i="6" s="1"/>
  <c r="J26" i="6" l="1"/>
  <c r="K26" i="6" s="1"/>
  <c r="J25" i="6"/>
  <c r="K25" i="6" s="1"/>
  <c r="J24" i="6"/>
  <c r="K24" i="6" s="1"/>
  <c r="J7" i="6"/>
  <c r="K7" i="6" s="1"/>
  <c r="J8" i="6"/>
  <c r="K8" i="6" s="1"/>
  <c r="J9" i="6"/>
  <c r="K9" i="6" s="1"/>
  <c r="J10" i="6"/>
  <c r="K10" i="6" s="1"/>
  <c r="J11" i="6"/>
  <c r="K11" i="6" s="1"/>
  <c r="J5" i="6"/>
  <c r="K5" i="6" s="1"/>
  <c r="H6" i="5" l="1"/>
  <c r="H9" i="5"/>
  <c r="H10" i="5"/>
  <c r="H12" i="5"/>
  <c r="H7" i="5"/>
  <c r="H13" i="5"/>
  <c r="H11" i="5"/>
  <c r="H8" i="5"/>
  <c r="H14" i="5"/>
  <c r="H5" i="5"/>
  <c r="D6" i="5"/>
  <c r="I6" i="5" s="1"/>
  <c r="D9" i="5"/>
  <c r="I9" i="5" s="1"/>
  <c r="D10" i="5"/>
  <c r="I10" i="5" s="1"/>
  <c r="D12" i="5"/>
  <c r="I12" i="5" s="1"/>
  <c r="D7" i="5"/>
  <c r="I7" i="5" s="1"/>
  <c r="D13" i="5"/>
  <c r="I13" i="5" s="1"/>
  <c r="D11" i="5"/>
  <c r="I11" i="5" s="1"/>
  <c r="D8" i="5"/>
  <c r="I8" i="5" s="1"/>
  <c r="D14" i="5"/>
  <c r="I14" i="5" s="1"/>
  <c r="D5" i="5"/>
  <c r="I5" i="5" s="1"/>
  <c r="G6" i="5"/>
  <c r="J6" i="5" s="1"/>
  <c r="G9" i="5"/>
  <c r="J9" i="5" s="1"/>
  <c r="G10" i="5"/>
  <c r="J10" i="5" s="1"/>
  <c r="G12" i="5"/>
  <c r="J12" i="5" s="1"/>
  <c r="G7" i="5"/>
  <c r="J7" i="5" s="1"/>
  <c r="G13" i="5"/>
  <c r="J13" i="5" s="1"/>
  <c r="G11" i="5"/>
  <c r="J11" i="5" s="1"/>
  <c r="G8" i="5"/>
  <c r="J8" i="5" s="1"/>
  <c r="G14" i="5"/>
  <c r="J14" i="5" s="1"/>
  <c r="G5" i="5"/>
  <c r="J5" i="5" s="1"/>
  <c r="L5" i="4"/>
  <c r="L15" i="4"/>
  <c r="L12" i="4"/>
  <c r="L9" i="4"/>
  <c r="L2" i="4"/>
  <c r="L4" i="4"/>
  <c r="L14" i="4"/>
  <c r="L3" i="4"/>
  <c r="L6" i="4"/>
  <c r="L10" i="4"/>
  <c r="L7" i="4"/>
  <c r="L8" i="4"/>
  <c r="L16" i="4"/>
  <c r="L11" i="4"/>
  <c r="L13" i="4"/>
  <c r="K5" i="4"/>
  <c r="K15" i="4"/>
  <c r="K12" i="4"/>
  <c r="K9" i="4"/>
  <c r="K2" i="4"/>
  <c r="K4" i="4"/>
  <c r="K14" i="4"/>
  <c r="K3" i="4"/>
  <c r="K6" i="4"/>
  <c r="K10" i="4"/>
  <c r="K7" i="4"/>
  <c r="K8" i="4"/>
  <c r="K16" i="4"/>
  <c r="K11" i="4"/>
  <c r="K13" i="4"/>
  <c r="J5" i="4"/>
  <c r="J15" i="4"/>
  <c r="J12" i="4"/>
  <c r="J9" i="4"/>
  <c r="J2" i="4"/>
  <c r="J4" i="4"/>
  <c r="J14" i="4"/>
  <c r="J3" i="4"/>
  <c r="J6" i="4"/>
  <c r="J10" i="4"/>
  <c r="J7" i="4"/>
  <c r="J8" i="4"/>
  <c r="J16" i="4"/>
  <c r="J11" i="4"/>
  <c r="J13" i="4"/>
  <c r="I5" i="4"/>
  <c r="I15" i="4"/>
  <c r="I12" i="4"/>
  <c r="I9" i="4"/>
  <c r="I2" i="4"/>
  <c r="I4" i="4"/>
  <c r="I14" i="4"/>
  <c r="I3" i="4"/>
  <c r="I6" i="4"/>
  <c r="I10" i="4"/>
  <c r="I7" i="4"/>
  <c r="I8" i="4"/>
  <c r="I16" i="4"/>
  <c r="I11" i="4"/>
  <c r="I13" i="4"/>
  <c r="G5" i="4"/>
  <c r="G15" i="4"/>
  <c r="G12" i="4"/>
  <c r="G9" i="4"/>
  <c r="G2" i="4"/>
  <c r="G4" i="4"/>
  <c r="G14" i="4"/>
  <c r="G3" i="4"/>
  <c r="G6" i="4"/>
  <c r="G10" i="4"/>
  <c r="G7" i="4"/>
  <c r="G8" i="4"/>
  <c r="G16" i="4"/>
  <c r="G11" i="4"/>
  <c r="G13" i="4"/>
  <c r="I5" i="3"/>
  <c r="E16" i="3" s="1"/>
  <c r="F16" i="3" s="1"/>
  <c r="I6" i="3"/>
  <c r="E17" i="3" s="1"/>
  <c r="I7" i="3"/>
  <c r="E18" i="3" s="1"/>
  <c r="I8" i="3"/>
  <c r="E19" i="3" s="1"/>
  <c r="I9" i="3"/>
  <c r="E20" i="3" s="1"/>
  <c r="I23" i="1"/>
  <c r="H23" i="1"/>
  <c r="G23" i="1"/>
  <c r="G18" i="3" l="1"/>
  <c r="F18" i="3"/>
  <c r="F19" i="3"/>
  <c r="G19" i="3"/>
  <c r="F17" i="3"/>
  <c r="G17" i="3"/>
  <c r="G16" i="3"/>
  <c r="H16" i="3" s="1"/>
  <c r="G20" i="3"/>
  <c r="F20" i="3"/>
  <c r="H20" i="3" s="1"/>
  <c r="I15" i="5"/>
  <c r="G15" i="5"/>
  <c r="J15" i="5"/>
  <c r="K10" i="5"/>
  <c r="K5" i="5"/>
  <c r="K8" i="5"/>
  <c r="K13" i="5"/>
  <c r="K7" i="5"/>
  <c r="K12" i="5"/>
  <c r="K6" i="5"/>
  <c r="K9" i="5"/>
  <c r="K14" i="5"/>
  <c r="K11" i="5"/>
  <c r="M13" i="4"/>
  <c r="N13" i="4" s="1"/>
  <c r="M8" i="4"/>
  <c r="N8" i="4"/>
  <c r="M7" i="4"/>
  <c r="N7" i="4" s="1"/>
  <c r="M2" i="4"/>
  <c r="N2" i="4" s="1"/>
  <c r="M14" i="4"/>
  <c r="M9" i="4"/>
  <c r="N9" i="4" s="1"/>
  <c r="M3" i="4"/>
  <c r="N3" i="4" s="1"/>
  <c r="N14" i="4"/>
  <c r="M4" i="4"/>
  <c r="N4" i="4" s="1"/>
  <c r="M6" i="4"/>
  <c r="N6" i="4" s="1"/>
  <c r="M12" i="4"/>
  <c r="N12" i="4" s="1"/>
  <c r="M11" i="4"/>
  <c r="N11" i="4" s="1"/>
  <c r="M15" i="4"/>
  <c r="N15" i="4" s="1"/>
  <c r="M16" i="4"/>
  <c r="N16" i="4" s="1"/>
  <c r="M5" i="4"/>
  <c r="N5" i="4" s="1"/>
  <c r="M10" i="4"/>
  <c r="N10" i="4" s="1"/>
  <c r="J6" i="1"/>
  <c r="J7" i="1"/>
  <c r="J8" i="1"/>
  <c r="J9" i="1"/>
  <c r="J10" i="1"/>
  <c r="J11" i="1"/>
  <c r="J12" i="1"/>
  <c r="J5" i="1"/>
  <c r="F6" i="1"/>
  <c r="K6" i="1" s="1"/>
  <c r="F7" i="1"/>
  <c r="K7" i="1" s="1"/>
  <c r="F8" i="1"/>
  <c r="K8" i="1" s="1"/>
  <c r="F9" i="1"/>
  <c r="K9" i="1" s="1"/>
  <c r="F10" i="1"/>
  <c r="K10" i="1" s="1"/>
  <c r="F11" i="1"/>
  <c r="K11" i="1" s="1"/>
  <c r="F12" i="1"/>
  <c r="K12" i="1" s="1"/>
  <c r="F5" i="1"/>
  <c r="K5" i="1" s="1"/>
  <c r="E6" i="1"/>
  <c r="E7" i="1"/>
  <c r="E8" i="1"/>
  <c r="E9" i="1"/>
  <c r="E10" i="1"/>
  <c r="E11" i="1"/>
  <c r="E12" i="1"/>
  <c r="E5" i="1"/>
  <c r="H18" i="3" l="1"/>
  <c r="H19" i="3"/>
  <c r="H17" i="3"/>
  <c r="K15" i="5"/>
  <c r="L12" i="1"/>
  <c r="M12" i="1"/>
  <c r="L5" i="1"/>
  <c r="M5" i="1"/>
  <c r="L11" i="1"/>
  <c r="M11" i="1"/>
  <c r="L10" i="1"/>
  <c r="M10" i="1"/>
  <c r="M9" i="1"/>
  <c r="L9" i="1"/>
  <c r="M8" i="1"/>
  <c r="L8" i="1"/>
  <c r="M7" i="1"/>
  <c r="L7" i="1"/>
  <c r="M6" i="1"/>
  <c r="L6" i="1"/>
</calcChain>
</file>

<file path=xl/sharedStrings.xml><?xml version="1.0" encoding="utf-8"?>
<sst xmlns="http://schemas.openxmlformats.org/spreadsheetml/2006/main" count="493" uniqueCount="217">
  <si>
    <t>SBD</t>
  </si>
  <si>
    <t>Họ</t>
  </si>
  <si>
    <t>Tên</t>
  </si>
  <si>
    <t xml:space="preserve">Toán </t>
  </si>
  <si>
    <t>Lý</t>
  </si>
  <si>
    <t>Hóa</t>
  </si>
  <si>
    <t>Kết quả</t>
  </si>
  <si>
    <t>D204</t>
  </si>
  <si>
    <t>C203</t>
  </si>
  <si>
    <t>B102</t>
  </si>
  <si>
    <t>A101</t>
  </si>
  <si>
    <t>A205</t>
  </si>
  <si>
    <t>C106</t>
  </si>
  <si>
    <t>D107</t>
  </si>
  <si>
    <t>Phan Bá</t>
  </si>
  <si>
    <t>Trần</t>
  </si>
  <si>
    <t>Châu Thanh</t>
  </si>
  <si>
    <t>Nguyễn Thị</t>
  </si>
  <si>
    <t>Lê Minh</t>
  </si>
  <si>
    <t xml:space="preserve">Trương Quang </t>
  </si>
  <si>
    <t>Nguyễn Mạnh</t>
  </si>
  <si>
    <t>Đình</t>
  </si>
  <si>
    <t>Định</t>
  </si>
  <si>
    <t>Minh</t>
  </si>
  <si>
    <t>Tấn</t>
  </si>
  <si>
    <t>Thanh</t>
  </si>
  <si>
    <t>Thế</t>
  </si>
  <si>
    <t xml:space="preserve">Trung </t>
  </si>
  <si>
    <t>Vinh</t>
  </si>
  <si>
    <t>KẾT QUẢ TUYỂN SINH</t>
  </si>
  <si>
    <t>Bảng 1</t>
  </si>
  <si>
    <t>Mã Ngành</t>
  </si>
  <si>
    <t>Ngành thi</t>
  </si>
  <si>
    <t>Điểm chuẩn 1</t>
  </si>
  <si>
    <t>Điểm chuẩn 2</t>
  </si>
  <si>
    <t>A</t>
  </si>
  <si>
    <t>C</t>
  </si>
  <si>
    <t>D</t>
  </si>
  <si>
    <t>B</t>
  </si>
  <si>
    <t>Máy tính</t>
  </si>
  <si>
    <t>Điện tử</t>
  </si>
  <si>
    <t>Xây dựng</t>
  </si>
  <si>
    <t>Bảng 2</t>
  </si>
  <si>
    <t>Điểm h bổng</t>
  </si>
  <si>
    <t>Khu vực</t>
  </si>
  <si>
    <t>A208</t>
  </si>
  <si>
    <t>Tổng điểm</t>
  </si>
  <si>
    <t>Điểm chuẩn</t>
  </si>
  <si>
    <t>Học bổng</t>
  </si>
  <si>
    <t>1</t>
  </si>
  <si>
    <t>Đậu</t>
  </si>
  <si>
    <t/>
  </si>
  <si>
    <t>2</t>
  </si>
  <si>
    <t>Có</t>
  </si>
  <si>
    <t>Bảng  thống kê</t>
  </si>
  <si>
    <t>Số thí sinh đậu</t>
  </si>
  <si>
    <t>Số thí sinh hỏng</t>
  </si>
  <si>
    <t>Số thí sinh có học bổng</t>
  </si>
  <si>
    <t>DANH SÁCH ĐẬU</t>
  </si>
  <si>
    <t>Bảng giá thị trường thế giới và thị trường Việt Nam</t>
  </si>
  <si>
    <t>Tên hàng</t>
  </si>
  <si>
    <t>DVT</t>
  </si>
  <si>
    <t>Việt Nam</t>
  </si>
  <si>
    <t>Thế Giới</t>
  </si>
  <si>
    <t>Gạo</t>
  </si>
  <si>
    <t>Cà Phê</t>
  </si>
  <si>
    <t>Phân Bón</t>
  </si>
  <si>
    <t>Dầu Thô</t>
  </si>
  <si>
    <t>Vàng</t>
  </si>
  <si>
    <t>Hồ tiêu</t>
  </si>
  <si>
    <t>Cao su</t>
  </si>
  <si>
    <t>Tỷ giá</t>
  </si>
  <si>
    <t>Tổng kim nghạch xuất khẩu 6 tháng đầu năm</t>
  </si>
  <si>
    <t>Mặt hàng</t>
  </si>
  <si>
    <t>Cà phê</t>
  </si>
  <si>
    <t>Dầu thô</t>
  </si>
  <si>
    <t>Tỷ lệ</t>
  </si>
  <si>
    <t>Giá trị</t>
  </si>
  <si>
    <t>Bảng thống kê</t>
  </si>
  <si>
    <t>Số lượng tính theo gía thị trường</t>
  </si>
  <si>
    <t>Thế giới</t>
  </si>
  <si>
    <t>Chênh lệch</t>
  </si>
  <si>
    <t>STT</t>
  </si>
  <si>
    <t>Môn học</t>
  </si>
  <si>
    <t>Mã lớp</t>
  </si>
  <si>
    <t>Loại</t>
  </si>
  <si>
    <t>Sĩ số</t>
  </si>
  <si>
    <t>Giảng viên</t>
  </si>
  <si>
    <t>Chức danh</t>
  </si>
  <si>
    <t>Số tiết</t>
  </si>
  <si>
    <t>HS đông</t>
  </si>
  <si>
    <t>HS đêm</t>
  </si>
  <si>
    <t>HS xa</t>
  </si>
  <si>
    <t>HS cao học</t>
  </si>
  <si>
    <t>Số tiết qui đổi</t>
  </si>
  <si>
    <t>Số tiền</t>
  </si>
  <si>
    <t>THDC</t>
  </si>
  <si>
    <t>THQL</t>
  </si>
  <si>
    <t>PTHT</t>
  </si>
  <si>
    <t>HDH</t>
  </si>
  <si>
    <t>CTDL</t>
  </si>
  <si>
    <t>KTLT</t>
  </si>
  <si>
    <t>CSDL1</t>
  </si>
  <si>
    <t>THCN</t>
  </si>
  <si>
    <t>BTG3</t>
  </si>
  <si>
    <t>TKT19</t>
  </si>
  <si>
    <t>CQ20</t>
  </si>
  <si>
    <t>TKT20</t>
  </si>
  <si>
    <t>DL20</t>
  </si>
  <si>
    <t>CH5</t>
  </si>
  <si>
    <t>CH4</t>
  </si>
  <si>
    <t>DGK</t>
  </si>
  <si>
    <t>NGK</t>
  </si>
  <si>
    <t>NXK</t>
  </si>
  <si>
    <t>NXC</t>
  </si>
  <si>
    <t>Cao</t>
  </si>
  <si>
    <t>Thạnh</t>
  </si>
  <si>
    <t>Hương</t>
  </si>
  <si>
    <t>Dung</t>
  </si>
  <si>
    <t>Liêm</t>
  </si>
  <si>
    <t>Liễu</t>
  </si>
  <si>
    <t>TĐạt</t>
  </si>
  <si>
    <t>Lệ</t>
  </si>
  <si>
    <t>TG</t>
  </si>
  <si>
    <t>PTS</t>
  </si>
  <si>
    <t>GVC</t>
  </si>
  <si>
    <t>Đơn giá</t>
  </si>
  <si>
    <t>GV</t>
  </si>
  <si>
    <t>1.2</t>
  </si>
  <si>
    <t>Tháng 2/2006</t>
  </si>
  <si>
    <t>BẢNG TÍNH TIỀN ĐIỆN</t>
  </si>
  <si>
    <t>HỌ TÊN</t>
  </si>
  <si>
    <t>LOẠI</t>
  </si>
  <si>
    <t>ĐỊNH MỨC</t>
  </si>
  <si>
    <t xml:space="preserve">CŨ  </t>
  </si>
  <si>
    <t>MỚI</t>
  </si>
  <si>
    <t>TIÊU THỤ</t>
  </si>
  <si>
    <t xml:space="preserve">TRONG </t>
  </si>
  <si>
    <t>VƯỢT</t>
  </si>
  <si>
    <t>CỘNG</t>
  </si>
  <si>
    <t>Trương Mỹ Dung</t>
  </si>
  <si>
    <t>Trần Thị Ngọc Bích</t>
  </si>
  <si>
    <t>Phạm Du Liêm</t>
  </si>
  <si>
    <t>Nguyễn Quốc Hùng</t>
  </si>
  <si>
    <t>Huỳnh Ngọc Liểu</t>
  </si>
  <si>
    <t>Nguyễn Tiến Đạt</t>
  </si>
  <si>
    <t>Lê Ngọc Thành</t>
  </si>
  <si>
    <t>Hứa Thị Ngọc Nga</t>
  </si>
  <si>
    <t>Vũ Thị Liên Hương</t>
  </si>
  <si>
    <t>Võ Hà Quang Định</t>
  </si>
  <si>
    <t>ĐƠN GIÁ</t>
  </si>
  <si>
    <t>TỔNG CỘNG</t>
  </si>
  <si>
    <t>Những người tiêu thụ vượt định mức</t>
  </si>
  <si>
    <t>BẢNG TÍNH LƯƠNG CBCNV</t>
  </si>
  <si>
    <t>Tổng thưởng:</t>
  </si>
  <si>
    <t>Tỷ giá :</t>
  </si>
  <si>
    <t>Hệ số:</t>
  </si>
  <si>
    <t xml:space="preserve">Tên </t>
  </si>
  <si>
    <t>Mã số</t>
  </si>
  <si>
    <t>Lương   căn bản</t>
  </si>
  <si>
    <t>Xếp loại</t>
  </si>
  <si>
    <t>Hệ số xếp loại</t>
  </si>
  <si>
    <t>Phụ cấp</t>
  </si>
  <si>
    <t>Tạm ứng</t>
  </si>
  <si>
    <t>Thưởng</t>
  </si>
  <si>
    <t>Thực lãnh</t>
  </si>
  <si>
    <t xml:space="preserve">Nguyễn Văn </t>
  </si>
  <si>
    <t>Nguyễn Thị Cẩm</t>
  </si>
  <si>
    <t xml:space="preserve">Lại Thị Phương </t>
  </si>
  <si>
    <t xml:space="preserve">Nguyễn Đình </t>
  </si>
  <si>
    <t>Võ Công</t>
  </si>
  <si>
    <t>Nguyễn Thị Hiếu</t>
  </si>
  <si>
    <t>Ân</t>
  </si>
  <si>
    <t>Hồng</t>
  </si>
  <si>
    <t>Quỳnh</t>
  </si>
  <si>
    <t>Tuấn</t>
  </si>
  <si>
    <t>Đồng</t>
  </si>
  <si>
    <t>Hạnh</t>
  </si>
  <si>
    <t>Phước</t>
  </si>
  <si>
    <t>A1CB</t>
  </si>
  <si>
    <t>A2CB</t>
  </si>
  <si>
    <t>C3CB</t>
  </si>
  <si>
    <t>C3NV</t>
  </si>
  <si>
    <t>Tổng</t>
  </si>
  <si>
    <t>Bảng tính phụ cấp</t>
  </si>
  <si>
    <t>CB</t>
  </si>
  <si>
    <t>NV</t>
  </si>
  <si>
    <t xml:space="preserve">B </t>
  </si>
  <si>
    <t>Bảng tính Hệ số</t>
  </si>
  <si>
    <t>Hệ số Xếp loại</t>
  </si>
  <si>
    <t>BẢNG THEO DÕI CÁC CUỘC GỌI ĐIỆN THOẠI</t>
  </si>
  <si>
    <t>Số gọi</t>
  </si>
  <si>
    <t>Tỉnh/TP</t>
  </si>
  <si>
    <t>Vùng</t>
  </si>
  <si>
    <t>Giờ BD</t>
  </si>
  <si>
    <t>Giờ KT</t>
  </si>
  <si>
    <t>Thời gian gọi</t>
  </si>
  <si>
    <t>Số cuộc gọi</t>
  </si>
  <si>
    <t>Tiền phải trả</t>
  </si>
  <si>
    <t>056-825557</t>
  </si>
  <si>
    <t>014-533801</t>
  </si>
  <si>
    <t>064-839871</t>
  </si>
  <si>
    <t>061-8444150</t>
  </si>
  <si>
    <t>063-843771</t>
  </si>
  <si>
    <t>Mã</t>
  </si>
  <si>
    <t>Sông Bé</t>
  </si>
  <si>
    <t>Vũng Tàu</t>
  </si>
  <si>
    <t>Lâm Đồng</t>
  </si>
  <si>
    <t>Đồng Nai</t>
  </si>
  <si>
    <t>Khánh Hòa</t>
  </si>
  <si>
    <t>Bình Định</t>
  </si>
  <si>
    <t>Hà Nội</t>
  </si>
  <si>
    <t>Thời gian gọi &gt;10 phút</t>
  </si>
  <si>
    <t>Sum of Tiền phải trả</t>
  </si>
  <si>
    <t>Row Labels</t>
  </si>
  <si>
    <t>Grand Total</t>
  </si>
  <si>
    <t>Số tiền gọi từng vùng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</si>
</sst>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\ [$USD]\ "/>
    <numFmt numFmtId="165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Time s New Roman"/>
    </font>
    <font>
      <b/>
      <sz val="11"/>
      <color theme="1"/>
      <name val="Time s New Roman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Time 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0" borderId="1" xfId="0" applyBorder="1"/>
    <xf numFmtId="0" fontId="3" fillId="0" borderId="1" xfId="0" applyFont="1" applyBorder="1"/>
    <xf numFmtId="3" fontId="0" fillId="0" borderId="0" xfId="0" applyNumberFormat="1"/>
    <xf numFmtId="9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4" fillId="0" borderId="1" xfId="0" applyFont="1" applyBorder="1"/>
    <xf numFmtId="44" fontId="0" fillId="0" borderId="1" xfId="0" applyNumberFormat="1" applyBorder="1"/>
    <xf numFmtId="0" fontId="2" fillId="3" borderId="1" xfId="0" applyFont="1" applyFill="1" applyBorder="1"/>
    <xf numFmtId="0" fontId="1" fillId="4" borderId="3" xfId="0" applyFont="1" applyFill="1" applyBorder="1"/>
    <xf numFmtId="0" fontId="1" fillId="4" borderId="8" xfId="0" applyFont="1" applyFill="1" applyBorder="1"/>
    <xf numFmtId="0" fontId="1" fillId="0" borderId="4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10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11" xfId="0" applyFont="1" applyBorder="1"/>
    <xf numFmtId="0" fontId="1" fillId="4" borderId="1" xfId="0" applyFont="1" applyFill="1" applyBorder="1"/>
    <xf numFmtId="0" fontId="1" fillId="5" borderId="0" xfId="0" applyFont="1" applyFill="1"/>
    <xf numFmtId="0" fontId="8" fillId="0" borderId="0" xfId="0" applyFont="1"/>
    <xf numFmtId="0" fontId="2" fillId="3" borderId="1" xfId="0" applyFont="1" applyFill="1" applyBorder="1" applyAlignment="1">
      <alignment horizontal="center"/>
    </xf>
    <xf numFmtId="164" fontId="1" fillId="6" borderId="1" xfId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/>
    <xf numFmtId="20" fontId="1" fillId="0" borderId="1" xfId="0" applyNumberFormat="1" applyFont="1" applyBorder="1"/>
    <xf numFmtId="165" fontId="1" fillId="0" borderId="1" xfId="2" applyNumberFormat="1" applyFont="1" applyBorder="1"/>
    <xf numFmtId="0" fontId="1" fillId="0" borderId="0" xfId="0" pivotButton="1" applyFont="1"/>
    <xf numFmtId="0" fontId="1" fillId="0" borderId="0" xfId="0" applyFont="1" applyAlignment="1">
      <alignment horizontal="left"/>
    </xf>
  </cellXfs>
  <cellStyles count="3">
    <cellStyle name="Comma" xfId="2" builtinId="3"/>
    <cellStyle name="Currency" xfId="1" builtinId="4"/>
    <cellStyle name="Normal" xfId="0" builtinId="0"/>
  </cellStyles>
  <dxfs count="6">
    <dxf>
      <font>
        <name val="Time s New Roman"/>
        <scheme val="none"/>
      </font>
    </dxf>
    <dxf>
      <font>
        <name val="Time s New Roman"/>
        <scheme val="none"/>
      </font>
    </dxf>
    <dxf>
      <font>
        <name val="Time s New Roman"/>
        <scheme val="none"/>
      </font>
    </dxf>
    <dxf>
      <font>
        <name val="Time s New Roman"/>
        <scheme val="none"/>
      </font>
    </dxf>
    <dxf>
      <font>
        <name val="Time s New Roman"/>
        <scheme val="none"/>
      </font>
    </dxf>
    <dxf>
      <font>
        <name val="Time 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238.927454976852" createdVersion="8" refreshedVersion="8" minRefreshableVersion="3" recordCount="12" xr:uid="{8AD1A79F-1C95-47E0-B33D-15E52CC22F60}">
  <cacheSource type="worksheet">
    <worksheetSource ref="A3:J15" sheet="BT6"/>
  </cacheSource>
  <cacheFields count="10">
    <cacheField name="STT" numFmtId="0">
      <sharedItems containsSemiMixedTypes="0" containsString="0" containsNumber="1" containsInteger="1" minValue="1" maxValue="12"/>
    </cacheField>
    <cacheField name="Số gọi" numFmtId="0">
      <sharedItems containsMixedTypes="1" containsNumber="1" containsInteger="1" minValue="8322883" maxValue="8999675"/>
    </cacheField>
    <cacheField name="Tỉnh/TP" numFmtId="0">
      <sharedItems/>
    </cacheField>
    <cacheField name="Vùng" numFmtId="0">
      <sharedItems containsSemiMixedTypes="0" containsString="0" containsNumber="1" containsInteger="1" minValue="1" maxValue="3" count="3">
        <n v="1"/>
        <n v="2"/>
        <n v="3"/>
      </sharedItems>
    </cacheField>
    <cacheField name="Giờ BD" numFmtId="20">
      <sharedItems containsSemiMixedTypes="0" containsNonDate="0" containsDate="1" containsString="0" minDate="1899-12-30T06:30:00" maxDate="1899-12-30T21:00:00"/>
    </cacheField>
    <cacheField name="Giờ KT" numFmtId="20">
      <sharedItems containsSemiMixedTypes="0" containsNonDate="0" containsDate="1" containsString="0" minDate="1899-12-30T07:01:00" maxDate="1899-12-30T21:36:00"/>
    </cacheField>
    <cacheField name="Thời gian gọi" numFmtId="0">
      <sharedItems containsSemiMixedTypes="0" containsString="0" containsNumber="1" minValue="2.9999999999999094" maxValue="70.000000000000071"/>
    </cacheField>
    <cacheField name="Đơn giá" numFmtId="165">
      <sharedItems containsSemiMixedTypes="0" containsString="0" containsNumber="1" containsInteger="1" minValue="800" maxValue="3850"/>
    </cacheField>
    <cacheField name="Số cuộc gọi" numFmtId="0">
      <sharedItems containsSemiMixedTypes="0" containsString="0" containsNumber="1" minValue="2.9999999999999094" maxValue="51.999999999999972"/>
    </cacheField>
    <cacheField name="Tiền phải trả" numFmtId="165">
      <sharedItems containsSemiMixedTypes="0" containsString="0" containsNumber="1" minValue="3200" maxValue="200199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s v="014-533801"/>
    <s v="Hà Nội"/>
    <x v="0"/>
    <d v="1899-12-30T12:04:00"/>
    <d v="1899-12-30T12:56:00"/>
    <n v="51.999999999999972"/>
    <n v="3850"/>
    <n v="51.999999999999972"/>
    <n v="200199.99999999988"/>
  </r>
  <r>
    <n v="2"/>
    <s v="056-825557"/>
    <s v="Bình Định"/>
    <x v="1"/>
    <d v="1899-12-30T08:22:00"/>
    <d v="1899-12-30T08:25:00"/>
    <n v="2.9999999999999094"/>
    <n v="2380"/>
    <n v="2.9999999999999094"/>
    <n v="7139.9999999997844"/>
  </r>
  <r>
    <n v="3"/>
    <s v="061-8444150"/>
    <s v="Đồng Nai"/>
    <x v="2"/>
    <d v="1899-12-30T21:00:00"/>
    <d v="1899-12-30T21:36:00"/>
    <n v="36.000000000000028"/>
    <n v="1500"/>
    <n v="36.000000000000028"/>
    <n v="54000.000000000044"/>
  </r>
  <r>
    <n v="4"/>
    <s v="063-843771"/>
    <s v="Lâm Đồng"/>
    <x v="2"/>
    <d v="1899-12-30T08:03:00"/>
    <d v="1899-12-30T08:25:00"/>
    <n v="21.999999999999922"/>
    <n v="1500"/>
    <n v="21.999999999999922"/>
    <n v="32999.999999999884"/>
  </r>
  <r>
    <n v="5"/>
    <n v="8434269"/>
    <s v="Nội hạt"/>
    <x v="2"/>
    <d v="1899-12-30T10:15:00"/>
    <d v="1899-12-30T10:37:00"/>
    <n v="22.000000000000082"/>
    <n v="800"/>
    <n v="8"/>
    <n v="6400"/>
  </r>
  <r>
    <n v="6"/>
    <n v="8322883"/>
    <s v="Nội hạt"/>
    <x v="2"/>
    <d v="1899-12-30T15:30:00"/>
    <d v="1899-12-30T15:45:00"/>
    <n v="14.999999999999947"/>
    <n v="800"/>
    <n v="5"/>
    <n v="4000"/>
  </r>
  <r>
    <n v="7"/>
    <n v="8399047"/>
    <s v="Nội hạt"/>
    <x v="2"/>
    <d v="1899-12-30T16:00:00"/>
    <d v="1899-12-30T17:10:00"/>
    <n v="70.000000000000071"/>
    <n v="800"/>
    <n v="24"/>
    <n v="19200"/>
  </r>
  <r>
    <n v="8"/>
    <n v="8999675"/>
    <s v="Nội hạt"/>
    <x v="2"/>
    <d v="1899-12-30T16:48:00"/>
    <d v="1899-12-30T17:30:00"/>
    <n v="41.999999999999851"/>
    <n v="800"/>
    <n v="14"/>
    <n v="11200"/>
  </r>
  <r>
    <n v="9"/>
    <n v="8438721"/>
    <s v="Nội hạt"/>
    <x v="2"/>
    <d v="1899-12-30T20:45:00"/>
    <d v="1899-12-30T21:00:00"/>
    <n v="14.999999999999947"/>
    <n v="800"/>
    <n v="5"/>
    <n v="4000"/>
  </r>
  <r>
    <n v="10"/>
    <n v="8391999"/>
    <s v="Nội hạt"/>
    <x v="2"/>
    <d v="1899-12-30T07:15:00"/>
    <d v="1899-12-30T07:25:00"/>
    <n v="10.000000000000044"/>
    <n v="800"/>
    <n v="4"/>
    <n v="3200"/>
  </r>
  <r>
    <n v="11"/>
    <n v="8360182"/>
    <s v="Nội hạt"/>
    <x v="2"/>
    <d v="1899-12-30T06:30:00"/>
    <d v="1899-12-30T07:01:00"/>
    <n v="31.00000000000005"/>
    <n v="800"/>
    <n v="11"/>
    <n v="8800"/>
  </r>
  <r>
    <n v="12"/>
    <s v="064-839871"/>
    <s v="Vũng Tàu"/>
    <x v="2"/>
    <d v="1899-12-30T17:15:00"/>
    <d v="1899-12-30T17:30:00"/>
    <n v="14.999999999999947"/>
    <n v="1500"/>
    <n v="14.999999999999947"/>
    <n v="22499.999999999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A1F51-472B-46F7-AF7F-AD0BA7EBA5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7:D41" firstHeaderRow="1" firstDataRow="1" firstDataCol="1"/>
  <pivotFields count="1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20" showAll="0"/>
    <pivotField numFmtId="20" showAll="0"/>
    <pivotField showAll="0"/>
    <pivotField numFmtId="165" showAll="0"/>
    <pivotField showAll="0"/>
    <pivotField dataField="1" numFmtId="165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iền phải trả" fld="9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5674-0384-4385-8BA7-55599550B86D}">
  <dimension ref="B2:N24"/>
  <sheetViews>
    <sheetView topLeftCell="A4" workbookViewId="0"/>
  </sheetViews>
  <sheetFormatPr defaultRowHeight="14.4"/>
  <cols>
    <col min="2" max="2" width="13.5546875" customWidth="1"/>
    <col min="3" max="3" width="16.21875" customWidth="1"/>
    <col min="4" max="4" width="16.6640625" customWidth="1"/>
    <col min="5" max="5" width="15.21875" customWidth="1"/>
    <col min="6" max="6" width="13.44140625" customWidth="1"/>
    <col min="7" max="7" width="19.109375" customWidth="1"/>
    <col min="8" max="8" width="20.33203125" customWidth="1"/>
    <col min="9" max="9" width="24.6640625" customWidth="1"/>
    <col min="10" max="10" width="16.5546875" customWidth="1"/>
    <col min="11" max="11" width="13.77734375" customWidth="1"/>
    <col min="13" max="13" width="11.5546875" customWidth="1"/>
  </cols>
  <sheetData>
    <row r="2" spans="2:14">
      <c r="B2" s="3"/>
      <c r="C2" s="6" t="s">
        <v>29</v>
      </c>
      <c r="D2" s="7"/>
      <c r="E2" s="3"/>
      <c r="F2" s="3"/>
      <c r="G2" s="3"/>
      <c r="H2" s="3"/>
      <c r="I2" s="3"/>
      <c r="J2" s="3"/>
      <c r="K2" s="3"/>
      <c r="L2" s="3"/>
      <c r="M2" s="3"/>
    </row>
    <row r="3" spans="2:14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4">
      <c r="B4" s="2" t="s">
        <v>0</v>
      </c>
      <c r="C4" s="2" t="s">
        <v>1</v>
      </c>
      <c r="D4" s="2" t="s">
        <v>2</v>
      </c>
      <c r="E4" s="2" t="s">
        <v>32</v>
      </c>
      <c r="F4" s="2" t="s">
        <v>44</v>
      </c>
      <c r="G4" s="2" t="s">
        <v>3</v>
      </c>
      <c r="H4" s="2" t="s">
        <v>4</v>
      </c>
      <c r="I4" s="2" t="s">
        <v>5</v>
      </c>
      <c r="J4" s="2" t="s">
        <v>46</v>
      </c>
      <c r="K4" s="2" t="s">
        <v>47</v>
      </c>
      <c r="L4" s="2" t="s">
        <v>6</v>
      </c>
      <c r="M4" s="2" t="s">
        <v>48</v>
      </c>
    </row>
    <row r="5" spans="2:14">
      <c r="B5" s="1" t="s">
        <v>7</v>
      </c>
      <c r="C5" s="1" t="s">
        <v>20</v>
      </c>
      <c r="D5" s="1" t="s">
        <v>21</v>
      </c>
      <c r="E5" s="1" t="str">
        <f>VLOOKUP(B5,$B$17:$C$20,2,1)</f>
        <v>Hóa</v>
      </c>
      <c r="F5" s="4" t="str">
        <f>MID(B5,2,1)</f>
        <v>2</v>
      </c>
      <c r="G5" s="1">
        <v>2</v>
      </c>
      <c r="H5" s="1">
        <v>4</v>
      </c>
      <c r="I5" s="1">
        <v>2</v>
      </c>
      <c r="J5" s="1">
        <f>SUM(G5:I5)</f>
        <v>8</v>
      </c>
      <c r="K5" s="1">
        <f>VLOOKUP(LEFT(B5,1),$B$16:$E$20,F5+2,0)</f>
        <v>14</v>
      </c>
      <c r="L5" s="1" t="str">
        <f>IF(J5&gt;=K5,"Đậu","Hỏng")</f>
        <v>Hỏng</v>
      </c>
      <c r="M5" s="1" t="str">
        <f>IF(J5&gt;=HLOOKUP(LEFT(B5,1),$G$16:$K$17,2,0),"Có","")</f>
        <v/>
      </c>
    </row>
    <row r="6" spans="2:14">
      <c r="B6" s="1" t="s">
        <v>8</v>
      </c>
      <c r="C6" s="1" t="s">
        <v>18</v>
      </c>
      <c r="D6" s="1" t="s">
        <v>22</v>
      </c>
      <c r="E6" s="1" t="str">
        <f t="shared" ref="E6:E12" si="0">VLOOKUP(B6,$B$17:$C$20,2,1)</f>
        <v>Xây dựng</v>
      </c>
      <c r="F6" s="4" t="str">
        <f t="shared" ref="F6:F12" si="1">MID(B6,2,1)</f>
        <v>2</v>
      </c>
      <c r="G6" s="1">
        <v>4</v>
      </c>
      <c r="H6" s="1">
        <v>3</v>
      </c>
      <c r="I6" s="1">
        <v>1</v>
      </c>
      <c r="J6" s="1">
        <f t="shared" ref="J6:J12" si="2">SUM(G6:I6)</f>
        <v>8</v>
      </c>
      <c r="K6" s="1">
        <f t="shared" ref="K6:K12" si="3">VLOOKUP(LEFT(B6,1),$B$16:$E$20,F6+2,0)</f>
        <v>16</v>
      </c>
      <c r="L6" s="1" t="str">
        <f t="shared" ref="L6:L12" si="4">IF(J6&gt;=K6,"Đậu","Hỏng")</f>
        <v>Hỏng</v>
      </c>
      <c r="M6" s="1" t="str">
        <f t="shared" ref="M6:M12" si="5">IF(J6&gt;=HLOOKUP(LEFT(B6,1),$G$16:$K$17,2,0),"Có","")</f>
        <v/>
      </c>
    </row>
    <row r="7" spans="2:14">
      <c r="B7" s="1" t="s">
        <v>9</v>
      </c>
      <c r="C7" s="1" t="s">
        <v>19</v>
      </c>
      <c r="D7" s="1" t="s">
        <v>23</v>
      </c>
      <c r="E7" s="1" t="str">
        <f t="shared" si="0"/>
        <v>Điện tử</v>
      </c>
      <c r="F7" s="4" t="str">
        <f t="shared" si="1"/>
        <v>1</v>
      </c>
      <c r="G7" s="1">
        <v>5</v>
      </c>
      <c r="H7" s="1">
        <v>6</v>
      </c>
      <c r="I7" s="1">
        <v>6</v>
      </c>
      <c r="J7" s="1">
        <f t="shared" si="2"/>
        <v>17</v>
      </c>
      <c r="K7" s="1">
        <f t="shared" si="3"/>
        <v>17</v>
      </c>
      <c r="L7" s="1" t="str">
        <f t="shared" si="4"/>
        <v>Đậu</v>
      </c>
      <c r="M7" s="1" t="str">
        <f t="shared" si="5"/>
        <v/>
      </c>
    </row>
    <row r="8" spans="2:14">
      <c r="B8" s="1" t="s">
        <v>10</v>
      </c>
      <c r="C8" s="1" t="s">
        <v>18</v>
      </c>
      <c r="D8" s="1" t="s">
        <v>24</v>
      </c>
      <c r="E8" s="1" t="str">
        <f t="shared" si="0"/>
        <v>Máy tính</v>
      </c>
      <c r="F8" s="4" t="str">
        <f t="shared" si="1"/>
        <v>1</v>
      </c>
      <c r="G8" s="1">
        <v>4</v>
      </c>
      <c r="H8" s="1">
        <v>7</v>
      </c>
      <c r="I8" s="1">
        <v>5</v>
      </c>
      <c r="J8" s="1">
        <f t="shared" si="2"/>
        <v>16</v>
      </c>
      <c r="K8" s="1">
        <f t="shared" si="3"/>
        <v>19</v>
      </c>
      <c r="L8" s="1" t="str">
        <f t="shared" si="4"/>
        <v>Hỏng</v>
      </c>
      <c r="M8" s="1" t="str">
        <f t="shared" si="5"/>
        <v/>
      </c>
      <c r="N8" s="5"/>
    </row>
    <row r="9" spans="2:14">
      <c r="B9" s="1" t="s">
        <v>11</v>
      </c>
      <c r="C9" s="1" t="s">
        <v>17</v>
      </c>
      <c r="D9" s="1" t="s">
        <v>25</v>
      </c>
      <c r="E9" s="1" t="str">
        <f t="shared" si="0"/>
        <v>Máy tính</v>
      </c>
      <c r="F9" s="4" t="str">
        <f t="shared" si="1"/>
        <v>2</v>
      </c>
      <c r="G9" s="1">
        <v>6</v>
      </c>
      <c r="H9" s="1">
        <v>7</v>
      </c>
      <c r="I9" s="1">
        <v>9</v>
      </c>
      <c r="J9" s="1">
        <f t="shared" si="2"/>
        <v>22</v>
      </c>
      <c r="K9" s="1">
        <f t="shared" si="3"/>
        <v>10</v>
      </c>
      <c r="L9" s="1" t="str">
        <f t="shared" si="4"/>
        <v>Đậu</v>
      </c>
      <c r="M9" s="1" t="str">
        <f t="shared" si="5"/>
        <v/>
      </c>
    </row>
    <row r="10" spans="2:14">
      <c r="B10" s="1" t="s">
        <v>12</v>
      </c>
      <c r="C10" s="1" t="s">
        <v>16</v>
      </c>
      <c r="D10" s="1" t="s">
        <v>26</v>
      </c>
      <c r="E10" s="1" t="str">
        <f t="shared" si="0"/>
        <v>Xây dựng</v>
      </c>
      <c r="F10" s="4" t="str">
        <f t="shared" si="1"/>
        <v>1</v>
      </c>
      <c r="G10" s="1">
        <v>8</v>
      </c>
      <c r="H10" s="1">
        <v>6</v>
      </c>
      <c r="I10" s="1">
        <v>7</v>
      </c>
      <c r="J10" s="1">
        <f t="shared" si="2"/>
        <v>21</v>
      </c>
      <c r="K10" s="1">
        <f t="shared" si="3"/>
        <v>15</v>
      </c>
      <c r="L10" s="1" t="str">
        <f t="shared" si="4"/>
        <v>Đậu</v>
      </c>
      <c r="M10" s="1" t="str">
        <f t="shared" si="5"/>
        <v>Có</v>
      </c>
    </row>
    <row r="11" spans="2:14">
      <c r="B11" s="1" t="s">
        <v>13</v>
      </c>
      <c r="C11" s="1" t="s">
        <v>15</v>
      </c>
      <c r="D11" s="1" t="s">
        <v>27</v>
      </c>
      <c r="E11" s="1" t="str">
        <f t="shared" si="0"/>
        <v>Hóa</v>
      </c>
      <c r="F11" s="4" t="str">
        <f t="shared" si="1"/>
        <v>1</v>
      </c>
      <c r="G11" s="1">
        <v>9</v>
      </c>
      <c r="H11" s="1">
        <v>7</v>
      </c>
      <c r="I11" s="1">
        <v>8</v>
      </c>
      <c r="J11" s="1">
        <f t="shared" si="2"/>
        <v>24</v>
      </c>
      <c r="K11" s="1">
        <f t="shared" si="3"/>
        <v>13</v>
      </c>
      <c r="L11" s="1" t="str">
        <f t="shared" si="4"/>
        <v>Đậu</v>
      </c>
      <c r="M11" s="1" t="str">
        <f t="shared" si="5"/>
        <v>Có</v>
      </c>
    </row>
    <row r="12" spans="2:14">
      <c r="B12" s="1" t="s">
        <v>45</v>
      </c>
      <c r="C12" s="1" t="s">
        <v>14</v>
      </c>
      <c r="D12" s="1" t="s">
        <v>28</v>
      </c>
      <c r="E12" s="1" t="str">
        <f t="shared" si="0"/>
        <v>Máy tính</v>
      </c>
      <c r="F12" s="4" t="str">
        <f t="shared" si="1"/>
        <v>2</v>
      </c>
      <c r="G12" s="1">
        <v>9</v>
      </c>
      <c r="H12" s="1">
        <v>9</v>
      </c>
      <c r="I12" s="1">
        <v>9</v>
      </c>
      <c r="J12" s="1">
        <f t="shared" si="2"/>
        <v>27</v>
      </c>
      <c r="K12" s="1">
        <f t="shared" si="3"/>
        <v>10</v>
      </c>
      <c r="L12" s="1" t="str">
        <f t="shared" si="4"/>
        <v>Đậu</v>
      </c>
      <c r="M12" s="1" t="str">
        <f t="shared" si="5"/>
        <v>Có</v>
      </c>
    </row>
    <row r="13" spans="2:14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4">
      <c r="B14" s="6" t="s">
        <v>30</v>
      </c>
      <c r="C14" s="3"/>
      <c r="D14" s="3"/>
      <c r="E14" s="3"/>
      <c r="F14" s="3"/>
      <c r="G14" s="6" t="s">
        <v>42</v>
      </c>
      <c r="H14" s="3"/>
      <c r="I14" s="3"/>
      <c r="J14" s="3"/>
      <c r="K14" s="3"/>
      <c r="L14" s="3"/>
      <c r="M14" s="3"/>
    </row>
    <row r="15" spans="2:1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4">
      <c r="B16" s="2" t="s">
        <v>31</v>
      </c>
      <c r="C16" s="2" t="s">
        <v>32</v>
      </c>
      <c r="D16" s="2" t="s">
        <v>33</v>
      </c>
      <c r="E16" s="2" t="s">
        <v>34</v>
      </c>
      <c r="F16" s="3"/>
      <c r="G16" s="2" t="s">
        <v>31</v>
      </c>
      <c r="H16" s="2" t="s">
        <v>35</v>
      </c>
      <c r="I16" s="2" t="s">
        <v>38</v>
      </c>
      <c r="J16" s="2" t="s">
        <v>36</v>
      </c>
      <c r="K16" s="2" t="s">
        <v>37</v>
      </c>
      <c r="L16" s="3"/>
      <c r="M16" s="3"/>
    </row>
    <row r="17" spans="2:13">
      <c r="B17" s="2" t="s">
        <v>35</v>
      </c>
      <c r="C17" s="1" t="s">
        <v>39</v>
      </c>
      <c r="D17" s="1">
        <v>19</v>
      </c>
      <c r="E17" s="1">
        <v>10</v>
      </c>
      <c r="F17" s="3"/>
      <c r="G17" s="2" t="s">
        <v>43</v>
      </c>
      <c r="H17" s="1">
        <v>25</v>
      </c>
      <c r="I17" s="1">
        <v>23</v>
      </c>
      <c r="J17" s="1">
        <v>21</v>
      </c>
      <c r="K17" s="1">
        <v>19</v>
      </c>
      <c r="L17" s="3"/>
      <c r="M17" s="3"/>
    </row>
    <row r="18" spans="2:13">
      <c r="B18" s="2" t="s">
        <v>38</v>
      </c>
      <c r="C18" s="1" t="s">
        <v>40</v>
      </c>
      <c r="D18" s="1">
        <v>17</v>
      </c>
      <c r="E18" s="1">
        <v>18</v>
      </c>
      <c r="F18" s="3"/>
      <c r="G18" s="3"/>
      <c r="H18" s="3"/>
      <c r="I18" s="3"/>
      <c r="J18" s="3"/>
      <c r="K18" s="3"/>
      <c r="L18" s="3"/>
      <c r="M18" s="3"/>
    </row>
    <row r="19" spans="2:13">
      <c r="B19" s="2" t="s">
        <v>36</v>
      </c>
      <c r="C19" s="1" t="s">
        <v>41</v>
      </c>
      <c r="D19" s="1">
        <v>15</v>
      </c>
      <c r="E19" s="1">
        <v>16</v>
      </c>
      <c r="F19" s="3"/>
      <c r="G19" s="3"/>
      <c r="H19" s="3"/>
      <c r="I19" s="3"/>
      <c r="J19" s="3"/>
      <c r="K19" s="3"/>
      <c r="L19" s="3"/>
      <c r="M19" s="3"/>
    </row>
    <row r="20" spans="2:13">
      <c r="B20" s="2" t="s">
        <v>37</v>
      </c>
      <c r="C20" s="1" t="s">
        <v>5</v>
      </c>
      <c r="D20" s="1">
        <v>13</v>
      </c>
      <c r="E20" s="1">
        <v>14</v>
      </c>
      <c r="F20" s="3"/>
      <c r="G20" s="6" t="s">
        <v>54</v>
      </c>
      <c r="H20" s="3"/>
      <c r="I20" s="3"/>
      <c r="J20" s="3"/>
      <c r="K20" s="3"/>
      <c r="L20" s="3"/>
      <c r="M20" s="3"/>
    </row>
    <row r="21" spans="2:1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>
      <c r="B22" s="3"/>
      <c r="C22" s="3"/>
      <c r="D22" s="3"/>
      <c r="E22" s="3"/>
      <c r="F22" s="3"/>
      <c r="G22" s="2" t="s">
        <v>55</v>
      </c>
      <c r="H22" s="2" t="s">
        <v>56</v>
      </c>
      <c r="I22" s="2" t="s">
        <v>57</v>
      </c>
      <c r="J22" s="3"/>
      <c r="K22" s="3"/>
      <c r="L22" s="3"/>
      <c r="M22" s="3"/>
    </row>
    <row r="23" spans="2:13">
      <c r="B23" s="3"/>
      <c r="C23" s="3"/>
      <c r="D23" s="3"/>
      <c r="E23" s="3"/>
      <c r="F23" s="3"/>
      <c r="G23" s="1">
        <f>COUNTIF($L$5:$L$12,"Đậu")</f>
        <v>5</v>
      </c>
      <c r="H23" s="1">
        <f>COUNTIF($L$5:$L$12,"Hỏng")</f>
        <v>3</v>
      </c>
      <c r="I23" s="1">
        <f>COUNTIF($M$5:$M$12,"Có")</f>
        <v>3</v>
      </c>
      <c r="J23" s="3"/>
      <c r="K23" s="3"/>
      <c r="L23" s="3"/>
      <c r="M23" s="3"/>
    </row>
    <row r="24" spans="2:1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</sheetData>
  <sortState xmlns:xlrd2="http://schemas.microsoft.com/office/spreadsheetml/2017/richdata2" ref="B5:J12">
    <sortCondition ref="B4:B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BF13-581F-4C70-952B-C01822A0D317}">
  <dimension ref="B2:M10"/>
  <sheetViews>
    <sheetView workbookViewId="0"/>
  </sheetViews>
  <sheetFormatPr defaultRowHeight="14.4"/>
  <cols>
    <col min="3" max="3" width="19.109375" customWidth="1"/>
    <col min="4" max="4" width="17.109375" customWidth="1"/>
    <col min="5" max="5" width="13.88671875" customWidth="1"/>
    <col min="10" max="10" width="12.6640625" customWidth="1"/>
    <col min="11" max="11" width="12.44140625" customWidth="1"/>
    <col min="13" max="13" width="10.5546875" customWidth="1"/>
  </cols>
  <sheetData>
    <row r="2" spans="2:13">
      <c r="B2" s="3"/>
      <c r="C2" s="6" t="s">
        <v>58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2:13">
      <c r="B5" s="2" t="s">
        <v>0</v>
      </c>
      <c r="C5" s="2" t="s">
        <v>1</v>
      </c>
      <c r="D5" s="2" t="s">
        <v>2</v>
      </c>
      <c r="E5" s="2" t="s">
        <v>32</v>
      </c>
      <c r="F5" s="2" t="s">
        <v>44</v>
      </c>
      <c r="G5" s="2" t="s">
        <v>3</v>
      </c>
      <c r="H5" s="2" t="s">
        <v>4</v>
      </c>
      <c r="I5" s="2" t="s">
        <v>5</v>
      </c>
      <c r="J5" s="2" t="s">
        <v>46</v>
      </c>
      <c r="K5" s="2" t="s">
        <v>47</v>
      </c>
      <c r="L5" s="2" t="s">
        <v>6</v>
      </c>
      <c r="M5" s="2" t="s">
        <v>48</v>
      </c>
    </row>
    <row r="6" spans="2:13">
      <c r="B6" s="1" t="s">
        <v>9</v>
      </c>
      <c r="C6" s="1" t="s">
        <v>19</v>
      </c>
      <c r="D6" s="1" t="s">
        <v>23</v>
      </c>
      <c r="E6" s="1" t="s">
        <v>40</v>
      </c>
      <c r="F6" s="4" t="s">
        <v>49</v>
      </c>
      <c r="G6" s="1">
        <v>5</v>
      </c>
      <c r="H6" s="1">
        <v>6</v>
      </c>
      <c r="I6" s="1">
        <v>6</v>
      </c>
      <c r="J6" s="1">
        <v>17</v>
      </c>
      <c r="K6" s="1">
        <v>17</v>
      </c>
      <c r="L6" s="1" t="s">
        <v>50</v>
      </c>
      <c r="M6" s="1" t="s">
        <v>51</v>
      </c>
    </row>
    <row r="7" spans="2:13">
      <c r="B7" s="1" t="s">
        <v>11</v>
      </c>
      <c r="C7" s="1" t="s">
        <v>17</v>
      </c>
      <c r="D7" s="1" t="s">
        <v>25</v>
      </c>
      <c r="E7" s="1" t="s">
        <v>39</v>
      </c>
      <c r="F7" s="4" t="s">
        <v>52</v>
      </c>
      <c r="G7" s="1">
        <v>6</v>
      </c>
      <c r="H7" s="1">
        <v>7</v>
      </c>
      <c r="I7" s="1">
        <v>9</v>
      </c>
      <c r="J7" s="1">
        <v>22</v>
      </c>
      <c r="K7" s="1">
        <v>10</v>
      </c>
      <c r="L7" s="1" t="s">
        <v>50</v>
      </c>
      <c r="M7" s="1" t="s">
        <v>51</v>
      </c>
    </row>
    <row r="8" spans="2:13">
      <c r="B8" s="1" t="s">
        <v>12</v>
      </c>
      <c r="C8" s="1" t="s">
        <v>16</v>
      </c>
      <c r="D8" s="1" t="s">
        <v>26</v>
      </c>
      <c r="E8" s="1" t="s">
        <v>41</v>
      </c>
      <c r="F8" s="4" t="s">
        <v>49</v>
      </c>
      <c r="G8" s="1">
        <v>8</v>
      </c>
      <c r="H8" s="1">
        <v>6</v>
      </c>
      <c r="I8" s="1">
        <v>7</v>
      </c>
      <c r="J8" s="1">
        <v>21</v>
      </c>
      <c r="K8" s="1">
        <v>15</v>
      </c>
      <c r="L8" s="1" t="s">
        <v>50</v>
      </c>
      <c r="M8" s="1" t="s">
        <v>53</v>
      </c>
    </row>
    <row r="9" spans="2:13">
      <c r="B9" s="1" t="s">
        <v>13</v>
      </c>
      <c r="C9" s="1" t="s">
        <v>15</v>
      </c>
      <c r="D9" s="1" t="s">
        <v>27</v>
      </c>
      <c r="E9" s="1" t="s">
        <v>5</v>
      </c>
      <c r="F9" s="4" t="s">
        <v>49</v>
      </c>
      <c r="G9" s="1">
        <v>9</v>
      </c>
      <c r="H9" s="1">
        <v>7</v>
      </c>
      <c r="I9" s="1">
        <v>8</v>
      </c>
      <c r="J9" s="1">
        <v>24</v>
      </c>
      <c r="K9" s="1">
        <v>13</v>
      </c>
      <c r="L9" s="1" t="s">
        <v>50</v>
      </c>
      <c r="M9" s="1" t="s">
        <v>53</v>
      </c>
    </row>
    <row r="10" spans="2:13">
      <c r="B10" s="1" t="s">
        <v>45</v>
      </c>
      <c r="C10" s="1" t="s">
        <v>14</v>
      </c>
      <c r="D10" s="1" t="s">
        <v>28</v>
      </c>
      <c r="E10" s="1" t="s">
        <v>39</v>
      </c>
      <c r="F10" s="4" t="s">
        <v>52</v>
      </c>
      <c r="G10" s="1">
        <v>9</v>
      </c>
      <c r="H10" s="1">
        <v>9</v>
      </c>
      <c r="I10" s="1">
        <v>9</v>
      </c>
      <c r="J10" s="1">
        <v>27</v>
      </c>
      <c r="K10" s="1">
        <v>10</v>
      </c>
      <c r="L10" s="1" t="s">
        <v>50</v>
      </c>
      <c r="M10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FCC6-7FAA-40A0-B2CD-3B0013AEB4EA}">
  <dimension ref="B1:K20"/>
  <sheetViews>
    <sheetView workbookViewId="0">
      <selection activeCell="K16" sqref="K16"/>
    </sheetView>
  </sheetViews>
  <sheetFormatPr defaultRowHeight="14.4"/>
  <cols>
    <col min="8" max="8" width="11.6640625" customWidth="1"/>
    <col min="9" max="9" width="18.21875" bestFit="1" customWidth="1"/>
    <col min="10" max="10" width="11.88671875" customWidth="1"/>
    <col min="11" max="11" width="13.44140625" bestFit="1" customWidth="1"/>
  </cols>
  <sheetData>
    <row r="1" spans="2:11">
      <c r="B1" t="s">
        <v>59</v>
      </c>
    </row>
    <row r="2" spans="2:11">
      <c r="G2" t="s">
        <v>30</v>
      </c>
      <c r="J2" t="s">
        <v>71</v>
      </c>
      <c r="K2" s="10">
        <v>14000</v>
      </c>
    </row>
    <row r="3" spans="2:11">
      <c r="B3" s="9" t="s">
        <v>60</v>
      </c>
      <c r="C3" s="9" t="s">
        <v>61</v>
      </c>
      <c r="D3" s="9" t="s">
        <v>62</v>
      </c>
      <c r="E3" s="9" t="s">
        <v>63</v>
      </c>
      <c r="G3" t="s">
        <v>72</v>
      </c>
      <c r="K3" s="10">
        <v>63000000000</v>
      </c>
    </row>
    <row r="4" spans="2:11">
      <c r="B4" s="8" t="s">
        <v>65</v>
      </c>
      <c r="C4" s="8" t="s">
        <v>24</v>
      </c>
      <c r="D4" s="8">
        <v>850</v>
      </c>
      <c r="E4" s="8">
        <v>960</v>
      </c>
      <c r="G4" s="9" t="s">
        <v>73</v>
      </c>
      <c r="H4" s="9" t="s">
        <v>76</v>
      </c>
      <c r="I4" s="9" t="s">
        <v>77</v>
      </c>
    </row>
    <row r="5" spans="2:11">
      <c r="B5" s="8" t="s">
        <v>70</v>
      </c>
      <c r="C5" s="8" t="s">
        <v>24</v>
      </c>
      <c r="D5" s="8">
        <v>750</v>
      </c>
      <c r="E5" s="8">
        <v>750</v>
      </c>
      <c r="G5" s="8" t="s">
        <v>64</v>
      </c>
      <c r="H5" s="11">
        <v>0.43</v>
      </c>
      <c r="I5" s="16">
        <f>(H5*$K$3)/$K$2</f>
        <v>1935000</v>
      </c>
    </row>
    <row r="6" spans="2:11">
      <c r="B6" s="8" t="s">
        <v>67</v>
      </c>
      <c r="C6" s="8" t="s">
        <v>24</v>
      </c>
      <c r="D6" s="8">
        <v>150</v>
      </c>
      <c r="E6" s="8">
        <v>165</v>
      </c>
      <c r="G6" s="8" t="s">
        <v>74</v>
      </c>
      <c r="H6" s="11">
        <v>0.08</v>
      </c>
      <c r="I6" s="16">
        <f t="shared" ref="I6:I9" si="0">(H6*$K$3)/$K$2</f>
        <v>360000</v>
      </c>
    </row>
    <row r="7" spans="2:11">
      <c r="B7" s="8" t="s">
        <v>64</v>
      </c>
      <c r="C7" s="8" t="s">
        <v>24</v>
      </c>
      <c r="D7" s="8">
        <v>250</v>
      </c>
      <c r="E7" s="8">
        <v>260</v>
      </c>
      <c r="G7" s="8" t="s">
        <v>75</v>
      </c>
      <c r="H7" s="11">
        <v>0.18</v>
      </c>
      <c r="I7" s="16">
        <f t="shared" si="0"/>
        <v>810000</v>
      </c>
    </row>
    <row r="8" spans="2:11">
      <c r="B8" s="8" t="s">
        <v>69</v>
      </c>
      <c r="C8" s="8" t="s">
        <v>24</v>
      </c>
      <c r="D8" s="8">
        <v>900</v>
      </c>
      <c r="E8" s="8">
        <v>920</v>
      </c>
      <c r="G8" s="8" t="s">
        <v>69</v>
      </c>
      <c r="H8" s="11">
        <v>0.09</v>
      </c>
      <c r="I8" s="16">
        <f t="shared" si="0"/>
        <v>405000</v>
      </c>
    </row>
    <row r="9" spans="2:11">
      <c r="B9" s="8" t="s">
        <v>66</v>
      </c>
      <c r="C9" s="8" t="s">
        <v>24</v>
      </c>
      <c r="D9" s="8">
        <v>320</v>
      </c>
      <c r="E9" s="8">
        <v>300</v>
      </c>
      <c r="G9" s="8" t="s">
        <v>70</v>
      </c>
      <c r="H9" s="11">
        <v>0.22</v>
      </c>
      <c r="I9" s="16">
        <f t="shared" si="0"/>
        <v>990000</v>
      </c>
    </row>
    <row r="10" spans="2:11">
      <c r="B10" s="8" t="s">
        <v>68</v>
      </c>
      <c r="C10" s="8" t="s">
        <v>24</v>
      </c>
      <c r="D10" s="8">
        <v>15000</v>
      </c>
      <c r="E10" s="8">
        <v>15000</v>
      </c>
    </row>
    <row r="12" spans="2:11">
      <c r="D12" s="12" t="s">
        <v>78</v>
      </c>
      <c r="E12" s="12"/>
      <c r="F12" s="12"/>
      <c r="G12" s="12"/>
      <c r="H12" s="12"/>
      <c r="I12" s="12"/>
    </row>
    <row r="13" spans="2:11">
      <c r="D13" s="12"/>
      <c r="E13" s="12"/>
      <c r="F13" s="13" t="s">
        <v>79</v>
      </c>
      <c r="G13" s="13"/>
      <c r="H13" s="13"/>
      <c r="I13" s="13"/>
    </row>
    <row r="14" spans="2:11">
      <c r="D14" s="12"/>
      <c r="E14" s="12"/>
      <c r="F14" s="12"/>
      <c r="G14" s="12"/>
      <c r="H14" s="12"/>
      <c r="I14" s="12"/>
    </row>
    <row r="15" spans="2:11">
      <c r="D15" s="14" t="s">
        <v>73</v>
      </c>
      <c r="E15" s="14" t="s">
        <v>77</v>
      </c>
      <c r="F15" s="14" t="s">
        <v>62</v>
      </c>
      <c r="G15" s="14" t="s">
        <v>80</v>
      </c>
      <c r="H15" s="14" t="s">
        <v>81</v>
      </c>
      <c r="I15" s="12"/>
    </row>
    <row r="16" spans="2:11">
      <c r="D16" s="15" t="s">
        <v>64</v>
      </c>
      <c r="E16" s="14">
        <f>VLOOKUP(D16,$G$4:$I$9,3,0)</f>
        <v>1935000</v>
      </c>
      <c r="F16" s="8">
        <f>E16/D7</f>
        <v>7740</v>
      </c>
      <c r="G16" s="14">
        <f>E16/E7</f>
        <v>7442.3076923076924</v>
      </c>
      <c r="H16" s="14">
        <f>F16-G16</f>
        <v>297.69230769230762</v>
      </c>
      <c r="I16" s="12"/>
    </row>
    <row r="17" spans="4:9">
      <c r="D17" s="15" t="s">
        <v>74</v>
      </c>
      <c r="E17" s="14">
        <f t="shared" ref="E17:E20" si="1">VLOOKUP(D17,$G$4:$I$9,3,0)</f>
        <v>360000</v>
      </c>
      <c r="F17" s="8">
        <f>E17/D4</f>
        <v>423.52941176470586</v>
      </c>
      <c r="G17" s="14">
        <f>E17/E4</f>
        <v>375</v>
      </c>
      <c r="H17" s="14">
        <f t="shared" ref="H17:H20" si="2">F17-G17</f>
        <v>48.529411764705856</v>
      </c>
      <c r="I17" s="12"/>
    </row>
    <row r="18" spans="4:9">
      <c r="D18" s="15" t="s">
        <v>67</v>
      </c>
      <c r="E18" s="14">
        <f t="shared" si="1"/>
        <v>810000</v>
      </c>
      <c r="F18" s="8">
        <f>E18/D6</f>
        <v>5400</v>
      </c>
      <c r="G18" s="14">
        <f>E18/E6</f>
        <v>4909.090909090909</v>
      </c>
      <c r="H18" s="14">
        <f t="shared" si="2"/>
        <v>490.90909090909099</v>
      </c>
      <c r="I18" s="12"/>
    </row>
    <row r="19" spans="4:9">
      <c r="D19" s="15" t="s">
        <v>69</v>
      </c>
      <c r="E19" s="14">
        <f t="shared" si="1"/>
        <v>405000</v>
      </c>
      <c r="F19" s="8">
        <f>E19/D8</f>
        <v>450</v>
      </c>
      <c r="G19" s="14">
        <f>E19/E8</f>
        <v>440.21739130434781</v>
      </c>
      <c r="H19" s="14">
        <f t="shared" si="2"/>
        <v>9.7826086956521863</v>
      </c>
      <c r="I19" s="12"/>
    </row>
    <row r="20" spans="4:9">
      <c r="D20" s="15" t="s">
        <v>70</v>
      </c>
      <c r="E20" s="14">
        <f t="shared" si="1"/>
        <v>990000</v>
      </c>
      <c r="F20" s="8">
        <f>E20/D5</f>
        <v>1320</v>
      </c>
      <c r="G20" s="14">
        <f>E20/E5</f>
        <v>1320</v>
      </c>
      <c r="H20" s="14">
        <f t="shared" si="2"/>
        <v>0</v>
      </c>
      <c r="I2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88C3-AD97-48EB-B051-E9E7BE7F9AF4}">
  <dimension ref="A1:N35"/>
  <sheetViews>
    <sheetView topLeftCell="A4" workbookViewId="0"/>
  </sheetViews>
  <sheetFormatPr defaultRowHeight="13.8"/>
  <cols>
    <col min="1" max="2" width="8.88671875" style="3"/>
    <col min="3" max="3" width="13.5546875" style="3" customWidth="1"/>
    <col min="4" max="5" width="8.88671875" style="3"/>
    <col min="6" max="6" width="11.5546875" style="3" customWidth="1"/>
    <col min="7" max="7" width="13.109375" style="3" customWidth="1"/>
    <col min="8" max="8" width="8.88671875" style="3"/>
    <col min="9" max="9" width="11.21875" style="3" customWidth="1"/>
    <col min="10" max="10" width="8.88671875" style="3"/>
    <col min="11" max="11" width="12.33203125" style="3" customWidth="1"/>
    <col min="12" max="12" width="13.6640625" style="3" customWidth="1"/>
    <col min="13" max="13" width="18.33203125" style="3" customWidth="1"/>
    <col min="14" max="14" width="13.44140625" style="3" customWidth="1"/>
    <col min="15" max="16384" width="8.88671875" style="3"/>
  </cols>
  <sheetData>
    <row r="1" spans="1:14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</row>
    <row r="2" spans="1:14">
      <c r="A2" s="1">
        <v>6</v>
      </c>
      <c r="B2" s="1" t="s">
        <v>99</v>
      </c>
      <c r="C2" s="1" t="s">
        <v>107</v>
      </c>
      <c r="D2" s="1" t="s">
        <v>112</v>
      </c>
      <c r="E2" s="1">
        <v>30</v>
      </c>
      <c r="F2" s="1" t="s">
        <v>119</v>
      </c>
      <c r="G2" s="1" t="str">
        <f t="shared" ref="G2:G16" si="0">VLOOKUP(F2,$B$18:$C$26,2,0)</f>
        <v>TG</v>
      </c>
      <c r="H2" s="1">
        <v>30</v>
      </c>
      <c r="I2" s="1" t="str">
        <f t="shared" ref="I2:I16" si="1">IF(E2&lt;=80,"1",IF(E2&lt;=200,"1.2","1.5"))</f>
        <v>1</v>
      </c>
      <c r="J2" s="1">
        <f t="shared" ref="J2:J16" si="2">IF(LEFT(D2,1)="D",1.5,1)</f>
        <v>1</v>
      </c>
      <c r="K2" s="1">
        <f t="shared" ref="K2:K16" si="3">IF(MID(D2,2,1)="X",1.4,1)</f>
        <v>1</v>
      </c>
      <c r="L2" s="1">
        <f t="shared" ref="L2:L16" si="4">IF(RIGHT(D2,1)="C",1.5,1)</f>
        <v>1</v>
      </c>
      <c r="M2" s="1">
        <f t="shared" ref="M2:M16" si="5">H2*(I2+J2+K2+L2-3)</f>
        <v>30</v>
      </c>
      <c r="N2" s="1">
        <f t="shared" ref="N2:N16" si="6">M2*VLOOKUP(G2,$G$18:$H$22,2,0)</f>
        <v>540000</v>
      </c>
    </row>
    <row r="3" spans="1:14">
      <c r="A3" s="1">
        <v>9</v>
      </c>
      <c r="B3" s="1" t="s">
        <v>97</v>
      </c>
      <c r="C3" s="1" t="s">
        <v>108</v>
      </c>
      <c r="D3" s="1" t="s">
        <v>112</v>
      </c>
      <c r="E3" s="1">
        <v>60</v>
      </c>
      <c r="F3" s="1" t="s">
        <v>120</v>
      </c>
      <c r="G3" s="1" t="str">
        <f t="shared" si="0"/>
        <v>GVC</v>
      </c>
      <c r="H3" s="1">
        <v>45</v>
      </c>
      <c r="I3" s="1" t="str">
        <f t="shared" si="1"/>
        <v>1</v>
      </c>
      <c r="J3" s="1">
        <f t="shared" si="2"/>
        <v>1</v>
      </c>
      <c r="K3" s="1">
        <f t="shared" si="3"/>
        <v>1</v>
      </c>
      <c r="L3" s="1">
        <f t="shared" si="4"/>
        <v>1</v>
      </c>
      <c r="M3" s="1">
        <f t="shared" si="5"/>
        <v>45</v>
      </c>
      <c r="N3" s="1">
        <f t="shared" si="6"/>
        <v>1170000</v>
      </c>
    </row>
    <row r="4" spans="1:14">
      <c r="A4" s="1">
        <v>7</v>
      </c>
      <c r="B4" s="1" t="s">
        <v>100</v>
      </c>
      <c r="C4" s="1" t="s">
        <v>107</v>
      </c>
      <c r="D4" s="1" t="s">
        <v>112</v>
      </c>
      <c r="E4" s="1">
        <v>30</v>
      </c>
      <c r="F4" s="1" t="s">
        <v>116</v>
      </c>
      <c r="G4" s="1" t="str">
        <f t="shared" si="0"/>
        <v>TG</v>
      </c>
      <c r="H4" s="1">
        <v>45</v>
      </c>
      <c r="I4" s="1" t="str">
        <f t="shared" si="1"/>
        <v>1</v>
      </c>
      <c r="J4" s="1">
        <f t="shared" si="2"/>
        <v>1</v>
      </c>
      <c r="K4" s="1">
        <f t="shared" si="3"/>
        <v>1</v>
      </c>
      <c r="L4" s="1">
        <f t="shared" si="4"/>
        <v>1</v>
      </c>
      <c r="M4" s="1">
        <f t="shared" si="5"/>
        <v>45</v>
      </c>
      <c r="N4" s="1">
        <f t="shared" si="6"/>
        <v>810000</v>
      </c>
    </row>
    <row r="5" spans="1:14">
      <c r="A5" s="1">
        <v>2</v>
      </c>
      <c r="B5" s="1" t="s">
        <v>97</v>
      </c>
      <c r="C5" s="1" t="s">
        <v>105</v>
      </c>
      <c r="D5" s="1" t="s">
        <v>112</v>
      </c>
      <c r="E5" s="1">
        <v>50</v>
      </c>
      <c r="F5" s="1" t="s">
        <v>115</v>
      </c>
      <c r="G5" s="1" t="str">
        <f t="shared" si="0"/>
        <v>TG</v>
      </c>
      <c r="H5" s="1">
        <v>60</v>
      </c>
      <c r="I5" s="1" t="str">
        <f t="shared" si="1"/>
        <v>1</v>
      </c>
      <c r="J5" s="1">
        <f t="shared" si="2"/>
        <v>1</v>
      </c>
      <c r="K5" s="1">
        <f t="shared" si="3"/>
        <v>1</v>
      </c>
      <c r="L5" s="1">
        <f t="shared" si="4"/>
        <v>1</v>
      </c>
      <c r="M5" s="1">
        <f t="shared" si="5"/>
        <v>60</v>
      </c>
      <c r="N5" s="1">
        <f t="shared" si="6"/>
        <v>1080000</v>
      </c>
    </row>
    <row r="6" spans="1:14">
      <c r="A6" s="1">
        <v>10</v>
      </c>
      <c r="B6" s="1" t="s">
        <v>96</v>
      </c>
      <c r="C6" s="1" t="s">
        <v>106</v>
      </c>
      <c r="D6" s="1" t="s">
        <v>112</v>
      </c>
      <c r="E6" s="1">
        <v>126</v>
      </c>
      <c r="F6" s="1" t="s">
        <v>121</v>
      </c>
      <c r="G6" s="1" t="str">
        <f t="shared" si="0"/>
        <v>TG</v>
      </c>
      <c r="H6" s="1">
        <v>60</v>
      </c>
      <c r="I6" s="1" t="str">
        <f t="shared" si="1"/>
        <v>1.2</v>
      </c>
      <c r="J6" s="1">
        <f t="shared" si="2"/>
        <v>1</v>
      </c>
      <c r="K6" s="1">
        <f t="shared" si="3"/>
        <v>1</v>
      </c>
      <c r="L6" s="1">
        <f t="shared" si="4"/>
        <v>1</v>
      </c>
      <c r="M6" s="1">
        <f t="shared" si="5"/>
        <v>72.000000000000014</v>
      </c>
      <c r="N6" s="1">
        <f t="shared" si="6"/>
        <v>1296000.0000000002</v>
      </c>
    </row>
    <row r="7" spans="1:14">
      <c r="A7" s="1">
        <v>12</v>
      </c>
      <c r="B7" s="1" t="s">
        <v>102</v>
      </c>
      <c r="C7" s="1" t="s">
        <v>107</v>
      </c>
      <c r="D7" s="1" t="s">
        <v>112</v>
      </c>
      <c r="E7" s="1">
        <v>30</v>
      </c>
      <c r="F7" s="1" t="s">
        <v>122</v>
      </c>
      <c r="G7" s="1" t="str">
        <f t="shared" si="0"/>
        <v>GVC</v>
      </c>
      <c r="H7" s="1">
        <v>75</v>
      </c>
      <c r="I7" s="1" t="str">
        <f t="shared" si="1"/>
        <v>1</v>
      </c>
      <c r="J7" s="1">
        <f t="shared" si="2"/>
        <v>1</v>
      </c>
      <c r="K7" s="1">
        <f t="shared" si="3"/>
        <v>1</v>
      </c>
      <c r="L7" s="1">
        <f t="shared" si="4"/>
        <v>1</v>
      </c>
      <c r="M7" s="1">
        <f t="shared" si="5"/>
        <v>75</v>
      </c>
      <c r="N7" s="1">
        <f t="shared" si="6"/>
        <v>1950000</v>
      </c>
    </row>
    <row r="8" spans="1:14">
      <c r="A8" s="1">
        <v>13</v>
      </c>
      <c r="B8" s="1" t="s">
        <v>97</v>
      </c>
      <c r="C8" s="1" t="s">
        <v>107</v>
      </c>
      <c r="D8" s="1" t="s">
        <v>112</v>
      </c>
      <c r="E8" s="1">
        <v>30</v>
      </c>
      <c r="F8" s="1" t="s">
        <v>122</v>
      </c>
      <c r="G8" s="1" t="str">
        <f t="shared" si="0"/>
        <v>GVC</v>
      </c>
      <c r="H8" s="1">
        <v>75</v>
      </c>
      <c r="I8" s="1" t="str">
        <f t="shared" si="1"/>
        <v>1</v>
      </c>
      <c r="J8" s="1">
        <f t="shared" si="2"/>
        <v>1</v>
      </c>
      <c r="K8" s="1">
        <f t="shared" si="3"/>
        <v>1</v>
      </c>
      <c r="L8" s="1">
        <f t="shared" si="4"/>
        <v>1</v>
      </c>
      <c r="M8" s="1">
        <f t="shared" si="5"/>
        <v>75</v>
      </c>
      <c r="N8" s="1">
        <f t="shared" si="6"/>
        <v>1950000</v>
      </c>
    </row>
    <row r="9" spans="1:14">
      <c r="A9" s="1">
        <v>5</v>
      </c>
      <c r="B9" s="1" t="s">
        <v>98</v>
      </c>
      <c r="C9" s="1" t="s">
        <v>107</v>
      </c>
      <c r="D9" s="1" t="s">
        <v>112</v>
      </c>
      <c r="E9" s="1">
        <v>30</v>
      </c>
      <c r="F9" s="1" t="s">
        <v>118</v>
      </c>
      <c r="G9" s="1" t="str">
        <f t="shared" si="0"/>
        <v>PTS</v>
      </c>
      <c r="H9" s="1">
        <v>90</v>
      </c>
      <c r="I9" s="1" t="str">
        <f t="shared" si="1"/>
        <v>1</v>
      </c>
      <c r="J9" s="1">
        <f t="shared" si="2"/>
        <v>1</v>
      </c>
      <c r="K9" s="1">
        <f t="shared" si="3"/>
        <v>1</v>
      </c>
      <c r="L9" s="1">
        <f t="shared" si="4"/>
        <v>1</v>
      </c>
      <c r="M9" s="1">
        <f t="shared" si="5"/>
        <v>90</v>
      </c>
      <c r="N9" s="1">
        <f t="shared" si="6"/>
        <v>2700000</v>
      </c>
    </row>
    <row r="10" spans="1:14">
      <c r="A10" s="1">
        <v>11</v>
      </c>
      <c r="B10" s="1" t="s">
        <v>101</v>
      </c>
      <c r="C10" s="1" t="s">
        <v>107</v>
      </c>
      <c r="D10" s="1" t="s">
        <v>112</v>
      </c>
      <c r="E10" s="1">
        <v>30</v>
      </c>
      <c r="F10" s="1" t="s">
        <v>121</v>
      </c>
      <c r="G10" s="1" t="str">
        <f t="shared" si="0"/>
        <v>TG</v>
      </c>
      <c r="H10" s="1">
        <v>90</v>
      </c>
      <c r="I10" s="1" t="str">
        <f t="shared" si="1"/>
        <v>1</v>
      </c>
      <c r="J10" s="1">
        <f t="shared" si="2"/>
        <v>1</v>
      </c>
      <c r="K10" s="1">
        <f t="shared" si="3"/>
        <v>1</v>
      </c>
      <c r="L10" s="1">
        <f t="shared" si="4"/>
        <v>1</v>
      </c>
      <c r="M10" s="1">
        <f t="shared" si="5"/>
        <v>90</v>
      </c>
      <c r="N10" s="1">
        <f t="shared" si="6"/>
        <v>1620000</v>
      </c>
    </row>
    <row r="11" spans="1:14">
      <c r="A11" s="1">
        <v>15</v>
      </c>
      <c r="B11" s="1" t="s">
        <v>97</v>
      </c>
      <c r="C11" s="1" t="s">
        <v>110</v>
      </c>
      <c r="D11" s="1" t="s">
        <v>114</v>
      </c>
      <c r="E11" s="1">
        <v>160</v>
      </c>
      <c r="F11" s="1" t="s">
        <v>120</v>
      </c>
      <c r="G11" s="1" t="str">
        <f t="shared" si="0"/>
        <v>GVC</v>
      </c>
      <c r="H11" s="1">
        <v>45</v>
      </c>
      <c r="I11" s="1" t="str">
        <f t="shared" si="1"/>
        <v>1.2</v>
      </c>
      <c r="J11" s="1">
        <f t="shared" si="2"/>
        <v>1</v>
      </c>
      <c r="K11" s="1">
        <f t="shared" si="3"/>
        <v>1.4</v>
      </c>
      <c r="L11" s="1">
        <f t="shared" si="4"/>
        <v>1.5</v>
      </c>
      <c r="M11" s="1">
        <f t="shared" si="5"/>
        <v>94.499999999999986</v>
      </c>
      <c r="N11" s="1">
        <f t="shared" si="6"/>
        <v>2456999.9999999995</v>
      </c>
    </row>
    <row r="12" spans="1:14">
      <c r="A12" s="1">
        <v>4</v>
      </c>
      <c r="B12" s="1" t="s">
        <v>96</v>
      </c>
      <c r="C12" s="1" t="s">
        <v>106</v>
      </c>
      <c r="D12" s="1" t="s">
        <v>113</v>
      </c>
      <c r="E12" s="1">
        <v>125</v>
      </c>
      <c r="F12" s="1" t="s">
        <v>117</v>
      </c>
      <c r="G12" s="1" t="str">
        <f t="shared" si="0"/>
        <v>GVC</v>
      </c>
      <c r="H12" s="1">
        <v>60</v>
      </c>
      <c r="I12" s="1" t="str">
        <f t="shared" si="1"/>
        <v>1.2</v>
      </c>
      <c r="J12" s="1">
        <f t="shared" si="2"/>
        <v>1</v>
      </c>
      <c r="K12" s="1">
        <f t="shared" si="3"/>
        <v>1.4</v>
      </c>
      <c r="L12" s="1">
        <f t="shared" si="4"/>
        <v>1</v>
      </c>
      <c r="M12" s="1">
        <f t="shared" si="5"/>
        <v>95.999999999999972</v>
      </c>
      <c r="N12" s="1">
        <f t="shared" si="6"/>
        <v>2495999.9999999991</v>
      </c>
    </row>
    <row r="13" spans="1:14">
      <c r="A13" s="1">
        <v>1</v>
      </c>
      <c r="B13" s="1" t="s">
        <v>96</v>
      </c>
      <c r="C13" s="1" t="s">
        <v>104</v>
      </c>
      <c r="D13" s="1" t="s">
        <v>111</v>
      </c>
      <c r="E13" s="1">
        <v>120</v>
      </c>
      <c r="F13" s="1" t="s">
        <v>115</v>
      </c>
      <c r="G13" s="1" t="str">
        <f t="shared" si="0"/>
        <v>TG</v>
      </c>
      <c r="H13" s="1">
        <v>60</v>
      </c>
      <c r="I13" s="1" t="str">
        <f t="shared" si="1"/>
        <v>1.2</v>
      </c>
      <c r="J13" s="1">
        <f t="shared" si="2"/>
        <v>1.5</v>
      </c>
      <c r="K13" s="1">
        <f t="shared" si="3"/>
        <v>1</v>
      </c>
      <c r="L13" s="1">
        <f t="shared" si="4"/>
        <v>1</v>
      </c>
      <c r="M13" s="1">
        <f t="shared" si="5"/>
        <v>102.00000000000001</v>
      </c>
      <c r="N13" s="1">
        <f t="shared" si="6"/>
        <v>1836000.0000000002</v>
      </c>
    </row>
    <row r="14" spans="1:14">
      <c r="A14" s="1">
        <v>8</v>
      </c>
      <c r="B14" s="1" t="s">
        <v>96</v>
      </c>
      <c r="C14" s="1" t="s">
        <v>104</v>
      </c>
      <c r="D14" s="1" t="s">
        <v>111</v>
      </c>
      <c r="E14" s="1">
        <v>89</v>
      </c>
      <c r="F14" s="1" t="s">
        <v>120</v>
      </c>
      <c r="G14" s="1" t="str">
        <f t="shared" si="0"/>
        <v>GVC</v>
      </c>
      <c r="H14" s="1">
        <v>60</v>
      </c>
      <c r="I14" s="1" t="str">
        <f t="shared" si="1"/>
        <v>1.2</v>
      </c>
      <c r="J14" s="1">
        <f t="shared" si="2"/>
        <v>1.5</v>
      </c>
      <c r="K14" s="1">
        <f t="shared" si="3"/>
        <v>1</v>
      </c>
      <c r="L14" s="1">
        <f t="shared" si="4"/>
        <v>1</v>
      </c>
      <c r="M14" s="1">
        <f t="shared" si="5"/>
        <v>102.00000000000001</v>
      </c>
      <c r="N14" s="1">
        <f t="shared" si="6"/>
        <v>2652000.0000000005</v>
      </c>
    </row>
    <row r="15" spans="1:14">
      <c r="A15" s="1">
        <v>3</v>
      </c>
      <c r="B15" s="1" t="s">
        <v>96</v>
      </c>
      <c r="C15" s="1" t="s">
        <v>104</v>
      </c>
      <c r="D15" s="1" t="s">
        <v>111</v>
      </c>
      <c r="E15" s="1">
        <v>145</v>
      </c>
      <c r="F15" s="1" t="s">
        <v>116</v>
      </c>
      <c r="G15" s="1" t="str">
        <f t="shared" si="0"/>
        <v>TG</v>
      </c>
      <c r="H15" s="1">
        <v>60</v>
      </c>
      <c r="I15" s="1" t="str">
        <f t="shared" si="1"/>
        <v>1.2</v>
      </c>
      <c r="J15" s="1">
        <f t="shared" si="2"/>
        <v>1.5</v>
      </c>
      <c r="K15" s="1">
        <f t="shared" si="3"/>
        <v>1</v>
      </c>
      <c r="L15" s="1">
        <f t="shared" si="4"/>
        <v>1</v>
      </c>
      <c r="M15" s="1">
        <f t="shared" si="5"/>
        <v>102.00000000000001</v>
      </c>
      <c r="N15" s="1">
        <f t="shared" si="6"/>
        <v>1836000.0000000002</v>
      </c>
    </row>
    <row r="16" spans="1:14">
      <c r="A16" s="1">
        <v>14</v>
      </c>
      <c r="B16" s="1" t="s">
        <v>103</v>
      </c>
      <c r="C16" s="1" t="s">
        <v>109</v>
      </c>
      <c r="D16" s="1" t="s">
        <v>114</v>
      </c>
      <c r="E16" s="1">
        <v>82</v>
      </c>
      <c r="F16" s="1" t="s">
        <v>118</v>
      </c>
      <c r="G16" s="1" t="str">
        <f t="shared" si="0"/>
        <v>PTS</v>
      </c>
      <c r="H16" s="1">
        <v>60</v>
      </c>
      <c r="I16" s="1" t="str">
        <f t="shared" si="1"/>
        <v>1.2</v>
      </c>
      <c r="J16" s="1">
        <f t="shared" si="2"/>
        <v>1</v>
      </c>
      <c r="K16" s="1">
        <f t="shared" si="3"/>
        <v>1.4</v>
      </c>
      <c r="L16" s="1">
        <f t="shared" si="4"/>
        <v>1.5</v>
      </c>
      <c r="M16" s="1">
        <f t="shared" si="5"/>
        <v>125.99999999999997</v>
      </c>
      <c r="N16" s="1">
        <f t="shared" si="6"/>
        <v>3779999.9999999991</v>
      </c>
    </row>
    <row r="18" spans="1:14">
      <c r="B18" s="17" t="s">
        <v>2</v>
      </c>
      <c r="C18" s="17" t="s">
        <v>88</v>
      </c>
      <c r="G18" s="17" t="s">
        <v>88</v>
      </c>
      <c r="H18" s="17" t="s">
        <v>126</v>
      </c>
    </row>
    <row r="19" spans="1:14">
      <c r="B19" s="1" t="s">
        <v>115</v>
      </c>
      <c r="C19" s="1" t="s">
        <v>123</v>
      </c>
      <c r="G19" s="1" t="s">
        <v>127</v>
      </c>
      <c r="H19" s="1">
        <v>22000</v>
      </c>
    </row>
    <row r="20" spans="1:14">
      <c r="B20" s="1" t="s">
        <v>118</v>
      </c>
      <c r="C20" s="1" t="s">
        <v>124</v>
      </c>
      <c r="G20" s="1" t="s">
        <v>125</v>
      </c>
      <c r="H20" s="1">
        <v>26000</v>
      </c>
    </row>
    <row r="21" spans="1:14">
      <c r="B21" s="1" t="s">
        <v>117</v>
      </c>
      <c r="C21" s="1" t="s">
        <v>125</v>
      </c>
      <c r="G21" s="1" t="s">
        <v>124</v>
      </c>
      <c r="H21" s="1">
        <v>30000</v>
      </c>
    </row>
    <row r="22" spans="1:14">
      <c r="B22" s="1" t="s">
        <v>122</v>
      </c>
      <c r="C22" s="1" t="s">
        <v>125</v>
      </c>
      <c r="G22" s="1" t="s">
        <v>123</v>
      </c>
      <c r="H22" s="1">
        <v>18000</v>
      </c>
    </row>
    <row r="23" spans="1:14">
      <c r="B23" s="1" t="s">
        <v>119</v>
      </c>
      <c r="C23" s="1" t="s">
        <v>123</v>
      </c>
    </row>
    <row r="24" spans="1:14">
      <c r="B24" s="1" t="s">
        <v>120</v>
      </c>
      <c r="C24" s="1" t="s">
        <v>125</v>
      </c>
    </row>
    <row r="25" spans="1:14">
      <c r="B25" s="1" t="s">
        <v>121</v>
      </c>
      <c r="C25" s="1" t="s">
        <v>123</v>
      </c>
    </row>
    <row r="26" spans="1:14">
      <c r="B26" s="1" t="s">
        <v>116</v>
      </c>
      <c r="C26" s="1" t="s">
        <v>123</v>
      </c>
    </row>
    <row r="29" spans="1:14">
      <c r="A29" s="2" t="s">
        <v>82</v>
      </c>
      <c r="B29" s="2" t="s">
        <v>83</v>
      </c>
      <c r="C29" s="2" t="s">
        <v>84</v>
      </c>
      <c r="D29" s="2" t="s">
        <v>85</v>
      </c>
      <c r="E29" s="2" t="s">
        <v>86</v>
      </c>
      <c r="F29" s="2" t="s">
        <v>87</v>
      </c>
      <c r="G29" s="2" t="s">
        <v>88</v>
      </c>
      <c r="H29" s="2" t="s">
        <v>89</v>
      </c>
      <c r="I29" s="2" t="s">
        <v>90</v>
      </c>
      <c r="J29" s="2" t="s">
        <v>91</v>
      </c>
      <c r="K29" s="2" t="s">
        <v>92</v>
      </c>
      <c r="L29" s="2" t="s">
        <v>93</v>
      </c>
      <c r="M29" s="2" t="s">
        <v>94</v>
      </c>
      <c r="N29" s="2" t="s">
        <v>95</v>
      </c>
    </row>
    <row r="30" spans="1:14">
      <c r="A30" s="1">
        <v>1</v>
      </c>
      <c r="B30" s="1" t="s">
        <v>96</v>
      </c>
      <c r="C30" s="1" t="s">
        <v>104</v>
      </c>
      <c r="D30" s="1" t="s">
        <v>111</v>
      </c>
      <c r="E30" s="1">
        <v>120</v>
      </c>
      <c r="F30" s="1" t="s">
        <v>115</v>
      </c>
      <c r="G30" s="1" t="s">
        <v>123</v>
      </c>
      <c r="H30" s="1">
        <v>60</v>
      </c>
      <c r="I30" s="1" t="s">
        <v>128</v>
      </c>
      <c r="J30" s="1">
        <v>1.5</v>
      </c>
      <c r="K30" s="1">
        <v>1</v>
      </c>
      <c r="L30" s="1">
        <v>1</v>
      </c>
      <c r="M30" s="1">
        <v>102.00000000000001</v>
      </c>
      <c r="N30" s="1">
        <v>1836000.0000000002</v>
      </c>
    </row>
    <row r="31" spans="1:14">
      <c r="A31" s="1">
        <v>8</v>
      </c>
      <c r="B31" s="1" t="s">
        <v>96</v>
      </c>
      <c r="C31" s="1" t="s">
        <v>104</v>
      </c>
      <c r="D31" s="1" t="s">
        <v>111</v>
      </c>
      <c r="E31" s="1">
        <v>89</v>
      </c>
      <c r="F31" s="1" t="s">
        <v>120</v>
      </c>
      <c r="G31" s="1" t="s">
        <v>125</v>
      </c>
      <c r="H31" s="1">
        <v>60</v>
      </c>
      <c r="I31" s="1" t="s">
        <v>128</v>
      </c>
      <c r="J31" s="1">
        <v>1.5</v>
      </c>
      <c r="K31" s="1">
        <v>1</v>
      </c>
      <c r="L31" s="1">
        <v>1</v>
      </c>
      <c r="M31" s="1">
        <v>102.00000000000001</v>
      </c>
      <c r="N31" s="1">
        <v>2652000.0000000005</v>
      </c>
    </row>
    <row r="32" spans="1:14">
      <c r="A32" s="1">
        <v>3</v>
      </c>
      <c r="B32" s="1" t="s">
        <v>96</v>
      </c>
      <c r="C32" s="1" t="s">
        <v>104</v>
      </c>
      <c r="D32" s="1" t="s">
        <v>111</v>
      </c>
      <c r="E32" s="1">
        <v>145</v>
      </c>
      <c r="F32" s="1" t="s">
        <v>116</v>
      </c>
      <c r="G32" s="1" t="s">
        <v>123</v>
      </c>
      <c r="H32" s="1">
        <v>60</v>
      </c>
      <c r="I32" s="1" t="s">
        <v>128</v>
      </c>
      <c r="J32" s="1">
        <v>1.5</v>
      </c>
      <c r="K32" s="1">
        <v>1</v>
      </c>
      <c r="L32" s="1">
        <v>1</v>
      </c>
      <c r="M32" s="1">
        <v>102.00000000000001</v>
      </c>
      <c r="N32" s="1">
        <v>1836000.0000000002</v>
      </c>
    </row>
    <row r="33" spans="1:14">
      <c r="A33" s="1">
        <v>15</v>
      </c>
      <c r="B33" s="1" t="s">
        <v>97</v>
      </c>
      <c r="C33" s="1" t="s">
        <v>110</v>
      </c>
      <c r="D33" s="1" t="s">
        <v>114</v>
      </c>
      <c r="E33" s="1">
        <v>160</v>
      </c>
      <c r="F33" s="1" t="s">
        <v>120</v>
      </c>
      <c r="G33" s="1" t="s">
        <v>125</v>
      </c>
      <c r="H33" s="1">
        <v>45</v>
      </c>
      <c r="I33" s="1" t="s">
        <v>128</v>
      </c>
      <c r="J33" s="1">
        <v>1</v>
      </c>
      <c r="K33" s="1">
        <v>1.4</v>
      </c>
      <c r="L33" s="1">
        <v>1.5</v>
      </c>
      <c r="M33" s="1">
        <v>94.499999999999986</v>
      </c>
      <c r="N33" s="1">
        <v>2456999.9999999995</v>
      </c>
    </row>
    <row r="34" spans="1:14">
      <c r="A34" s="1">
        <v>4</v>
      </c>
      <c r="B34" s="1" t="s">
        <v>96</v>
      </c>
      <c r="C34" s="1" t="s">
        <v>106</v>
      </c>
      <c r="D34" s="1" t="s">
        <v>113</v>
      </c>
      <c r="E34" s="1">
        <v>125</v>
      </c>
      <c r="F34" s="1" t="s">
        <v>117</v>
      </c>
      <c r="G34" s="1" t="s">
        <v>125</v>
      </c>
      <c r="H34" s="1">
        <v>60</v>
      </c>
      <c r="I34" s="1" t="s">
        <v>128</v>
      </c>
      <c r="J34" s="1">
        <v>1</v>
      </c>
      <c r="K34" s="1">
        <v>1.4</v>
      </c>
      <c r="L34" s="1">
        <v>1</v>
      </c>
      <c r="M34" s="1">
        <v>95.999999999999972</v>
      </c>
      <c r="N34" s="1">
        <v>2495999.9999999991</v>
      </c>
    </row>
    <row r="35" spans="1:14">
      <c r="A35" s="1">
        <v>14</v>
      </c>
      <c r="B35" s="1" t="s">
        <v>103</v>
      </c>
      <c r="C35" s="1" t="s">
        <v>109</v>
      </c>
      <c r="D35" s="1" t="s">
        <v>114</v>
      </c>
      <c r="E35" s="1">
        <v>82</v>
      </c>
      <c r="F35" s="1" t="s">
        <v>118</v>
      </c>
      <c r="G35" s="1" t="s">
        <v>124</v>
      </c>
      <c r="H35" s="1">
        <v>60</v>
      </c>
      <c r="I35" s="1" t="s">
        <v>128</v>
      </c>
      <c r="J35" s="1">
        <v>1</v>
      </c>
      <c r="K35" s="1">
        <v>1.4</v>
      </c>
      <c r="L35" s="1">
        <v>1.5</v>
      </c>
      <c r="M35" s="1">
        <v>125.99999999999997</v>
      </c>
      <c r="N35" s="1">
        <v>3779999.9999999991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5D35-6D72-46E8-A10D-38364794E66C}">
  <dimension ref="A1:K29"/>
  <sheetViews>
    <sheetView topLeftCell="A12" workbookViewId="0"/>
  </sheetViews>
  <sheetFormatPr defaultRowHeight="13.8"/>
  <cols>
    <col min="1" max="1" width="8.88671875" style="3"/>
    <col min="2" max="2" width="19.33203125" style="3" customWidth="1"/>
    <col min="3" max="3" width="8.88671875" style="3"/>
    <col min="4" max="4" width="16.21875" style="3" customWidth="1"/>
    <col min="5" max="6" width="8.88671875" style="3"/>
    <col min="7" max="7" width="11.33203125" style="3" customWidth="1"/>
    <col min="8" max="16384" width="8.88671875" style="3"/>
  </cols>
  <sheetData>
    <row r="1" spans="1:11">
      <c r="E1" s="5" t="s">
        <v>129</v>
      </c>
      <c r="F1" s="5"/>
      <c r="G1" s="5"/>
    </row>
    <row r="2" spans="1:11">
      <c r="E2" s="5" t="s">
        <v>130</v>
      </c>
      <c r="F2" s="5"/>
      <c r="G2" s="5"/>
    </row>
    <row r="3" spans="1:11" ht="14.4" thickBot="1"/>
    <row r="4" spans="1:11">
      <c r="A4" s="18" t="s">
        <v>82</v>
      </c>
      <c r="B4" s="18" t="s">
        <v>131</v>
      </c>
      <c r="C4" s="18" t="s">
        <v>132</v>
      </c>
      <c r="D4" s="18" t="s">
        <v>133</v>
      </c>
      <c r="E4" s="18" t="s">
        <v>134</v>
      </c>
      <c r="F4" s="18" t="s">
        <v>135</v>
      </c>
      <c r="G4" s="18" t="s">
        <v>136</v>
      </c>
      <c r="H4" s="18" t="s">
        <v>150</v>
      </c>
      <c r="I4" s="18" t="s">
        <v>137</v>
      </c>
      <c r="J4" s="18" t="s">
        <v>138</v>
      </c>
      <c r="K4" s="19" t="s">
        <v>139</v>
      </c>
    </row>
    <row r="5" spans="1:11">
      <c r="A5" s="20">
        <v>1</v>
      </c>
      <c r="B5" s="20" t="s">
        <v>140</v>
      </c>
      <c r="C5" s="20" t="s">
        <v>35</v>
      </c>
      <c r="D5" s="20">
        <f t="shared" ref="D5:D14" si="0">VLOOKUP(C5,$C$17:$D$20,2,0)</f>
        <v>100</v>
      </c>
      <c r="E5" s="20">
        <v>1200</v>
      </c>
      <c r="F5" s="20">
        <v>1645</v>
      </c>
      <c r="G5" s="20">
        <f t="shared" ref="G5:G14" si="1">F5-E5</f>
        <v>445</v>
      </c>
      <c r="H5" s="20">
        <f t="shared" ref="H5:H14" si="2">VLOOKUP(C5,$C$17:$E$20,3,0)</f>
        <v>1000</v>
      </c>
      <c r="I5" s="20">
        <f t="shared" ref="I5:I14" si="3">D5*VLOOKUP(C5,$C$17:$E$20,3,0)</f>
        <v>100000</v>
      </c>
      <c r="J5" s="20">
        <f t="shared" ref="J5:J14" si="4">MAX(0,G5-VLOOKUP(C5,$C$17:$D$20,2,0))*VLOOKUP(C5,$C$17:$E$20,3,0)*2</f>
        <v>690000</v>
      </c>
      <c r="K5" s="21">
        <f t="shared" ref="K5:K14" si="5">SUM(I5,J5)</f>
        <v>790000</v>
      </c>
    </row>
    <row r="6" spans="1:11">
      <c r="A6" s="20">
        <v>2</v>
      </c>
      <c r="B6" s="20" t="s">
        <v>141</v>
      </c>
      <c r="C6" s="20" t="s">
        <v>35</v>
      </c>
      <c r="D6" s="20">
        <f t="shared" si="0"/>
        <v>100</v>
      </c>
      <c r="E6" s="20">
        <v>2400</v>
      </c>
      <c r="F6" s="20">
        <v>2541</v>
      </c>
      <c r="G6" s="20">
        <f t="shared" si="1"/>
        <v>141</v>
      </c>
      <c r="H6" s="20">
        <f t="shared" si="2"/>
        <v>1000</v>
      </c>
      <c r="I6" s="20">
        <f t="shared" si="3"/>
        <v>100000</v>
      </c>
      <c r="J6" s="20">
        <f t="shared" si="4"/>
        <v>82000</v>
      </c>
      <c r="K6" s="21">
        <f t="shared" si="5"/>
        <v>182000</v>
      </c>
    </row>
    <row r="7" spans="1:11">
      <c r="A7" s="20">
        <v>6</v>
      </c>
      <c r="B7" s="20" t="s">
        <v>145</v>
      </c>
      <c r="C7" s="20" t="s">
        <v>35</v>
      </c>
      <c r="D7" s="20">
        <f t="shared" si="0"/>
        <v>100</v>
      </c>
      <c r="E7" s="20">
        <v>7894</v>
      </c>
      <c r="F7" s="20">
        <v>8100</v>
      </c>
      <c r="G7" s="20">
        <f t="shared" si="1"/>
        <v>206</v>
      </c>
      <c r="H7" s="20">
        <f t="shared" si="2"/>
        <v>1000</v>
      </c>
      <c r="I7" s="20">
        <f t="shared" si="3"/>
        <v>100000</v>
      </c>
      <c r="J7" s="20">
        <f t="shared" si="4"/>
        <v>212000</v>
      </c>
      <c r="K7" s="21">
        <f t="shared" si="5"/>
        <v>312000</v>
      </c>
    </row>
    <row r="8" spans="1:11">
      <c r="A8" s="20">
        <v>9</v>
      </c>
      <c r="B8" s="20" t="s">
        <v>148</v>
      </c>
      <c r="C8" s="20" t="s">
        <v>35</v>
      </c>
      <c r="D8" s="20">
        <f t="shared" si="0"/>
        <v>100</v>
      </c>
      <c r="E8" s="20">
        <v>2345</v>
      </c>
      <c r="F8" s="20">
        <v>2500</v>
      </c>
      <c r="G8" s="20">
        <f t="shared" si="1"/>
        <v>155</v>
      </c>
      <c r="H8" s="20">
        <f t="shared" si="2"/>
        <v>1000</v>
      </c>
      <c r="I8" s="20">
        <f t="shared" si="3"/>
        <v>100000</v>
      </c>
      <c r="J8" s="20">
        <f t="shared" si="4"/>
        <v>110000</v>
      </c>
      <c r="K8" s="21">
        <f t="shared" si="5"/>
        <v>210000</v>
      </c>
    </row>
    <row r="9" spans="1:11">
      <c r="A9" s="20">
        <v>3</v>
      </c>
      <c r="B9" s="20" t="s">
        <v>142</v>
      </c>
      <c r="C9" s="20" t="s">
        <v>38</v>
      </c>
      <c r="D9" s="20">
        <f t="shared" si="0"/>
        <v>500</v>
      </c>
      <c r="E9" s="20">
        <v>2561</v>
      </c>
      <c r="F9" s="20">
        <v>2746</v>
      </c>
      <c r="G9" s="20">
        <f t="shared" si="1"/>
        <v>185</v>
      </c>
      <c r="H9" s="20">
        <f t="shared" si="2"/>
        <v>1200</v>
      </c>
      <c r="I9" s="20">
        <f t="shared" si="3"/>
        <v>600000</v>
      </c>
      <c r="J9" s="20">
        <f t="shared" si="4"/>
        <v>0</v>
      </c>
      <c r="K9" s="21">
        <f t="shared" si="5"/>
        <v>600000</v>
      </c>
    </row>
    <row r="10" spans="1:11">
      <c r="A10" s="20">
        <v>4</v>
      </c>
      <c r="B10" s="20" t="s">
        <v>143</v>
      </c>
      <c r="C10" s="20" t="s">
        <v>38</v>
      </c>
      <c r="D10" s="20">
        <f t="shared" si="0"/>
        <v>500</v>
      </c>
      <c r="E10" s="20">
        <v>2478</v>
      </c>
      <c r="F10" s="20">
        <v>2600</v>
      </c>
      <c r="G10" s="20">
        <f t="shared" si="1"/>
        <v>122</v>
      </c>
      <c r="H10" s="20">
        <f t="shared" si="2"/>
        <v>1200</v>
      </c>
      <c r="I10" s="20">
        <f t="shared" si="3"/>
        <v>600000</v>
      </c>
      <c r="J10" s="20">
        <f t="shared" si="4"/>
        <v>0</v>
      </c>
      <c r="K10" s="21">
        <f t="shared" si="5"/>
        <v>600000</v>
      </c>
    </row>
    <row r="11" spans="1:11">
      <c r="A11" s="20">
        <v>8</v>
      </c>
      <c r="B11" s="20" t="s">
        <v>147</v>
      </c>
      <c r="C11" s="20" t="s">
        <v>38</v>
      </c>
      <c r="D11" s="20">
        <f t="shared" si="0"/>
        <v>500</v>
      </c>
      <c r="E11" s="20">
        <v>5678</v>
      </c>
      <c r="F11" s="20">
        <v>5800</v>
      </c>
      <c r="G11" s="20">
        <f t="shared" si="1"/>
        <v>122</v>
      </c>
      <c r="H11" s="20">
        <f t="shared" si="2"/>
        <v>1200</v>
      </c>
      <c r="I11" s="20">
        <f t="shared" si="3"/>
        <v>600000</v>
      </c>
      <c r="J11" s="20">
        <f t="shared" si="4"/>
        <v>0</v>
      </c>
      <c r="K11" s="21">
        <f t="shared" si="5"/>
        <v>600000</v>
      </c>
    </row>
    <row r="12" spans="1:11">
      <c r="A12" s="20">
        <v>5</v>
      </c>
      <c r="B12" s="20" t="s">
        <v>144</v>
      </c>
      <c r="C12" s="20" t="s">
        <v>36</v>
      </c>
      <c r="D12" s="20">
        <f t="shared" si="0"/>
        <v>700</v>
      </c>
      <c r="E12" s="20">
        <v>1578</v>
      </c>
      <c r="F12" s="20">
        <v>1649</v>
      </c>
      <c r="G12" s="20">
        <f t="shared" si="1"/>
        <v>71</v>
      </c>
      <c r="H12" s="20">
        <f t="shared" si="2"/>
        <v>1500</v>
      </c>
      <c r="I12" s="20">
        <f t="shared" si="3"/>
        <v>1050000</v>
      </c>
      <c r="J12" s="20">
        <f t="shared" si="4"/>
        <v>0</v>
      </c>
      <c r="K12" s="21">
        <f t="shared" si="5"/>
        <v>1050000</v>
      </c>
    </row>
    <row r="13" spans="1:11">
      <c r="A13" s="20">
        <v>7</v>
      </c>
      <c r="B13" s="20" t="s">
        <v>146</v>
      </c>
      <c r="C13" s="20" t="s">
        <v>36</v>
      </c>
      <c r="D13" s="20">
        <f t="shared" si="0"/>
        <v>700</v>
      </c>
      <c r="E13" s="20">
        <v>1256</v>
      </c>
      <c r="F13" s="20">
        <v>1379</v>
      </c>
      <c r="G13" s="20">
        <f t="shared" si="1"/>
        <v>123</v>
      </c>
      <c r="H13" s="20">
        <f t="shared" si="2"/>
        <v>1500</v>
      </c>
      <c r="I13" s="20">
        <f t="shared" si="3"/>
        <v>1050000</v>
      </c>
      <c r="J13" s="20">
        <f t="shared" si="4"/>
        <v>0</v>
      </c>
      <c r="K13" s="21">
        <f t="shared" si="5"/>
        <v>1050000</v>
      </c>
    </row>
    <row r="14" spans="1:11" ht="14.4" thickBot="1">
      <c r="A14" s="22">
        <v>10</v>
      </c>
      <c r="B14" s="20" t="s">
        <v>149</v>
      </c>
      <c r="C14" s="23" t="s">
        <v>36</v>
      </c>
      <c r="D14" s="23">
        <f t="shared" si="0"/>
        <v>700</v>
      </c>
      <c r="E14" s="23">
        <v>3698</v>
      </c>
      <c r="F14" s="23">
        <v>3700</v>
      </c>
      <c r="G14" s="23">
        <f t="shared" si="1"/>
        <v>2</v>
      </c>
      <c r="H14" s="23">
        <f t="shared" si="2"/>
        <v>1500</v>
      </c>
      <c r="I14" s="23">
        <f t="shared" si="3"/>
        <v>1050000</v>
      </c>
      <c r="J14" s="23">
        <f t="shared" si="4"/>
        <v>0</v>
      </c>
      <c r="K14" s="24">
        <f t="shared" si="5"/>
        <v>1050000</v>
      </c>
    </row>
    <row r="15" spans="1:11" ht="14.4" thickBot="1">
      <c r="A15" s="25"/>
      <c r="B15" s="23" t="s">
        <v>151</v>
      </c>
      <c r="C15" s="26"/>
      <c r="D15" s="26"/>
      <c r="E15" s="26"/>
      <c r="F15" s="26"/>
      <c r="G15" s="26">
        <f>SUM(G5:G14)</f>
        <v>1572</v>
      </c>
      <c r="H15" s="26"/>
      <c r="I15" s="26">
        <f>SUM(I5:I14)</f>
        <v>5350000</v>
      </c>
      <c r="J15" s="26">
        <f>SUM(J5:J14)</f>
        <v>1094000</v>
      </c>
      <c r="K15" s="27">
        <f>SUM(K5:K14)</f>
        <v>6444000</v>
      </c>
    </row>
    <row r="17" spans="1:11">
      <c r="C17" s="28" t="s">
        <v>132</v>
      </c>
      <c r="D17" s="28" t="s">
        <v>133</v>
      </c>
      <c r="E17" s="28" t="s">
        <v>150</v>
      </c>
    </row>
    <row r="18" spans="1:11">
      <c r="C18" s="1" t="s">
        <v>35</v>
      </c>
      <c r="D18" s="1">
        <v>100</v>
      </c>
      <c r="E18" s="1">
        <v>1000</v>
      </c>
    </row>
    <row r="19" spans="1:11">
      <c r="C19" s="1" t="s">
        <v>38</v>
      </c>
      <c r="D19" s="1">
        <v>500</v>
      </c>
      <c r="E19" s="1">
        <v>1200</v>
      </c>
    </row>
    <row r="20" spans="1:11">
      <c r="C20" s="1" t="s">
        <v>36</v>
      </c>
      <c r="D20" s="1">
        <v>700</v>
      </c>
      <c r="E20" s="1">
        <v>1500</v>
      </c>
    </row>
    <row r="22" spans="1:11">
      <c r="D22" s="29" t="s">
        <v>152</v>
      </c>
      <c r="E22" s="29"/>
      <c r="F22" s="29"/>
    </row>
    <row r="24" spans="1:11" ht="14.4" thickBot="1"/>
    <row r="25" spans="1:11">
      <c r="A25" s="18" t="s">
        <v>82</v>
      </c>
      <c r="B25" s="18" t="s">
        <v>131</v>
      </c>
      <c r="C25" s="18" t="s">
        <v>132</v>
      </c>
      <c r="D25" s="18" t="s">
        <v>133</v>
      </c>
      <c r="E25" s="18" t="s">
        <v>134</v>
      </c>
      <c r="F25" s="18" t="s">
        <v>135</v>
      </c>
      <c r="G25" s="18" t="s">
        <v>136</v>
      </c>
      <c r="H25" s="18" t="s">
        <v>150</v>
      </c>
      <c r="I25" s="18" t="s">
        <v>137</v>
      </c>
      <c r="J25" s="18" t="s">
        <v>138</v>
      </c>
      <c r="K25" s="19" t="s">
        <v>139</v>
      </c>
    </row>
    <row r="26" spans="1:11">
      <c r="A26" s="20">
        <v>1</v>
      </c>
      <c r="B26" s="20" t="s">
        <v>140</v>
      </c>
      <c r="C26" s="20" t="s">
        <v>35</v>
      </c>
      <c r="D26" s="20">
        <v>100</v>
      </c>
      <c r="E26" s="20">
        <v>1200</v>
      </c>
      <c r="F26" s="20">
        <v>1645</v>
      </c>
      <c r="G26" s="20">
        <v>445</v>
      </c>
      <c r="H26" s="20">
        <v>1000</v>
      </c>
      <c r="I26" s="20">
        <v>100000</v>
      </c>
      <c r="J26" s="20">
        <v>690000</v>
      </c>
      <c r="K26" s="21">
        <v>790000</v>
      </c>
    </row>
    <row r="27" spans="1:11">
      <c r="A27" s="20">
        <v>2</v>
      </c>
      <c r="B27" s="20" t="s">
        <v>141</v>
      </c>
      <c r="C27" s="20" t="s">
        <v>35</v>
      </c>
      <c r="D27" s="20">
        <v>100</v>
      </c>
      <c r="E27" s="20">
        <v>2400</v>
      </c>
      <c r="F27" s="20">
        <v>2541</v>
      </c>
      <c r="G27" s="20">
        <v>141</v>
      </c>
      <c r="H27" s="20">
        <v>1000</v>
      </c>
      <c r="I27" s="20">
        <v>100000</v>
      </c>
      <c r="J27" s="20">
        <v>82000</v>
      </c>
      <c r="K27" s="21">
        <v>182000</v>
      </c>
    </row>
    <row r="28" spans="1:11">
      <c r="A28" s="20">
        <v>6</v>
      </c>
      <c r="B28" s="20" t="s">
        <v>145</v>
      </c>
      <c r="C28" s="20" t="s">
        <v>35</v>
      </c>
      <c r="D28" s="20">
        <v>100</v>
      </c>
      <c r="E28" s="20">
        <v>7894</v>
      </c>
      <c r="F28" s="20">
        <v>8100</v>
      </c>
      <c r="G28" s="20">
        <v>206</v>
      </c>
      <c r="H28" s="20">
        <v>1000</v>
      </c>
      <c r="I28" s="20">
        <v>100000</v>
      </c>
      <c r="J28" s="20">
        <v>212000</v>
      </c>
      <c r="K28" s="21">
        <v>312000</v>
      </c>
    </row>
    <row r="29" spans="1:11">
      <c r="A29" s="20">
        <v>9</v>
      </c>
      <c r="B29" s="20" t="s">
        <v>148</v>
      </c>
      <c r="C29" s="20" t="s">
        <v>35</v>
      </c>
      <c r="D29" s="20">
        <v>100</v>
      </c>
      <c r="E29" s="20">
        <v>2345</v>
      </c>
      <c r="F29" s="20">
        <v>2500</v>
      </c>
      <c r="G29" s="20">
        <v>155</v>
      </c>
      <c r="H29" s="20">
        <v>1000</v>
      </c>
      <c r="I29" s="20">
        <v>100000</v>
      </c>
      <c r="J29" s="20">
        <v>110000</v>
      </c>
      <c r="K29" s="21">
        <v>210000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AE09-0AF7-496E-B20F-6AF68505661C}">
  <dimension ref="A1:K26"/>
  <sheetViews>
    <sheetView zoomScale="70" zoomScaleNormal="70" workbookViewId="0">
      <selection activeCell="H5" sqref="H5"/>
    </sheetView>
  </sheetViews>
  <sheetFormatPr defaultRowHeight="13.8"/>
  <cols>
    <col min="1" max="1" width="9" style="3" bestFit="1" customWidth="1"/>
    <col min="2" max="2" width="19.33203125" style="3" customWidth="1"/>
    <col min="3" max="3" width="8.88671875" style="3"/>
    <col min="4" max="4" width="9" style="3" bestFit="1" customWidth="1"/>
    <col min="5" max="5" width="17.33203125" style="3" customWidth="1"/>
    <col min="6" max="6" width="8.88671875" style="3"/>
    <col min="7" max="7" width="15.77734375" style="3" customWidth="1"/>
    <col min="8" max="8" width="15.6640625" style="3" customWidth="1"/>
    <col min="9" max="9" width="14.21875" style="3" bestFit="1" customWidth="1"/>
    <col min="10" max="10" width="10.5546875" style="3" bestFit="1" customWidth="1"/>
    <col min="11" max="11" width="15.5546875" style="3" bestFit="1" customWidth="1"/>
    <col min="12" max="16384" width="8.88671875" style="3"/>
  </cols>
  <sheetData>
    <row r="1" spans="1:11" ht="14.4" thickBot="1">
      <c r="G1" s="30" t="s">
        <v>153</v>
      </c>
      <c r="H1" s="30"/>
    </row>
    <row r="2" spans="1:11" ht="14.4" thickBot="1">
      <c r="C2" s="3" t="s">
        <v>154</v>
      </c>
      <c r="E2" s="25">
        <v>200000000</v>
      </c>
      <c r="G2" s="3" t="s">
        <v>155</v>
      </c>
      <c r="H2" s="25">
        <v>16036</v>
      </c>
      <c r="J2" s="3" t="s">
        <v>156</v>
      </c>
      <c r="K2" s="25">
        <v>0.3</v>
      </c>
    </row>
    <row r="3" spans="1:11" ht="24.6" customHeight="1"/>
    <row r="4" spans="1:11" ht="36.6" customHeight="1">
      <c r="A4" s="17" t="s">
        <v>82</v>
      </c>
      <c r="B4" s="17" t="s">
        <v>1</v>
      </c>
      <c r="C4" s="17" t="s">
        <v>157</v>
      </c>
      <c r="D4" s="17" t="s">
        <v>158</v>
      </c>
      <c r="E4" s="31" t="s">
        <v>159</v>
      </c>
      <c r="F4" s="17" t="s">
        <v>160</v>
      </c>
      <c r="G4" s="31" t="s">
        <v>161</v>
      </c>
      <c r="H4" s="17" t="s">
        <v>162</v>
      </c>
      <c r="I4" s="31" t="s">
        <v>163</v>
      </c>
      <c r="J4" s="17" t="s">
        <v>164</v>
      </c>
      <c r="K4" s="31" t="s">
        <v>165</v>
      </c>
    </row>
    <row r="5" spans="1:11">
      <c r="A5" s="1">
        <v>1</v>
      </c>
      <c r="B5" s="1" t="s">
        <v>166</v>
      </c>
      <c r="C5" s="1" t="s">
        <v>172</v>
      </c>
      <c r="D5" s="4" t="s">
        <v>179</v>
      </c>
      <c r="E5" s="32">
        <v>560</v>
      </c>
      <c r="F5" s="33" t="s">
        <v>35</v>
      </c>
      <c r="G5" s="1">
        <f t="shared" ref="G5:G11" si="0">VLOOKUP(F5,$G$15:$H$19,2,0)</f>
        <v>2.5</v>
      </c>
      <c r="H5" s="1">
        <f t="shared" ref="H5:H11" si="1">VLOOKUP(LEFT(D5,1),$C$15:$E$19,IF(RIGHT(D5,2)="CB",2,3),0)</f>
        <v>50</v>
      </c>
      <c r="I5" s="34">
        <f t="shared" ref="I5:I11" si="2">E5*$K$2*$H$2</f>
        <v>2694048</v>
      </c>
      <c r="J5" s="34">
        <f t="shared" ref="J5:J11" si="3">$E$12/$G$12*G5</f>
        <v>680.81896551724128</v>
      </c>
      <c r="K5" s="34">
        <f t="shared" ref="K5:K11" si="4">(E5+H5)*$H$2+J5-I5</f>
        <v>7088592.818965517</v>
      </c>
    </row>
    <row r="6" spans="1:11">
      <c r="A6" s="1">
        <v>2</v>
      </c>
      <c r="B6" s="1" t="s">
        <v>167</v>
      </c>
      <c r="C6" s="1" t="s">
        <v>173</v>
      </c>
      <c r="D6" s="4" t="s">
        <v>179</v>
      </c>
      <c r="E6" s="32">
        <v>560</v>
      </c>
      <c r="F6" s="33" t="s">
        <v>38</v>
      </c>
      <c r="G6" s="1">
        <f t="shared" si="0"/>
        <v>2</v>
      </c>
      <c r="H6" s="1">
        <f t="shared" si="1"/>
        <v>50</v>
      </c>
      <c r="I6" s="34">
        <f t="shared" si="2"/>
        <v>2694048</v>
      </c>
      <c r="J6" s="34">
        <f t="shared" si="3"/>
        <v>544.65517241379303</v>
      </c>
      <c r="K6" s="34">
        <f t="shared" si="4"/>
        <v>7088456.6551724132</v>
      </c>
    </row>
    <row r="7" spans="1:11">
      <c r="A7" s="1">
        <v>3</v>
      </c>
      <c r="B7" s="1" t="s">
        <v>168</v>
      </c>
      <c r="C7" s="1" t="s">
        <v>174</v>
      </c>
      <c r="D7" s="4" t="s">
        <v>180</v>
      </c>
      <c r="E7" s="32">
        <v>560</v>
      </c>
      <c r="F7" s="33" t="s">
        <v>38</v>
      </c>
      <c r="G7" s="1">
        <f t="shared" si="0"/>
        <v>2</v>
      </c>
      <c r="H7" s="1">
        <f t="shared" si="1"/>
        <v>50</v>
      </c>
      <c r="I7" s="34">
        <f t="shared" si="2"/>
        <v>2694048</v>
      </c>
      <c r="J7" s="34">
        <f t="shared" si="3"/>
        <v>544.65517241379303</v>
      </c>
      <c r="K7" s="34">
        <f t="shared" si="4"/>
        <v>7088456.6551724132</v>
      </c>
    </row>
    <row r="8" spans="1:11">
      <c r="A8" s="1">
        <v>4</v>
      </c>
      <c r="B8" s="1" t="s">
        <v>169</v>
      </c>
      <c r="C8" s="1" t="s">
        <v>175</v>
      </c>
      <c r="D8" s="4" t="s">
        <v>181</v>
      </c>
      <c r="E8" s="32">
        <v>480</v>
      </c>
      <c r="F8" s="33" t="s">
        <v>36</v>
      </c>
      <c r="G8" s="1">
        <f t="shared" si="0"/>
        <v>1</v>
      </c>
      <c r="H8" s="1">
        <f t="shared" si="1"/>
        <v>30</v>
      </c>
      <c r="I8" s="34">
        <f t="shared" si="2"/>
        <v>2309184</v>
      </c>
      <c r="J8" s="34">
        <f t="shared" si="3"/>
        <v>272.32758620689651</v>
      </c>
      <c r="K8" s="34">
        <f t="shared" si="4"/>
        <v>5869448.3275862066</v>
      </c>
    </row>
    <row r="9" spans="1:11">
      <c r="A9" s="1">
        <v>5</v>
      </c>
      <c r="B9" s="1" t="s">
        <v>170</v>
      </c>
      <c r="C9" s="1" t="s">
        <v>176</v>
      </c>
      <c r="D9" s="4" t="s">
        <v>182</v>
      </c>
      <c r="E9" s="32">
        <v>333</v>
      </c>
      <c r="F9" s="33" t="s">
        <v>35</v>
      </c>
      <c r="G9" s="1">
        <f t="shared" si="0"/>
        <v>2.5</v>
      </c>
      <c r="H9" s="1">
        <f t="shared" si="1"/>
        <v>20</v>
      </c>
      <c r="I9" s="34">
        <f t="shared" si="2"/>
        <v>1601996.4</v>
      </c>
      <c r="J9" s="34">
        <f t="shared" si="3"/>
        <v>680.81896551724128</v>
      </c>
      <c r="K9" s="34">
        <f t="shared" si="4"/>
        <v>4059392.4189655171</v>
      </c>
    </row>
    <row r="10" spans="1:11">
      <c r="A10" s="1">
        <v>6</v>
      </c>
      <c r="B10" s="1" t="s">
        <v>171</v>
      </c>
      <c r="C10" s="1" t="s">
        <v>177</v>
      </c>
      <c r="D10" s="4" t="s">
        <v>182</v>
      </c>
      <c r="E10" s="32">
        <v>333</v>
      </c>
      <c r="F10" s="33" t="s">
        <v>37</v>
      </c>
      <c r="G10" s="1">
        <f t="shared" si="0"/>
        <v>0.8</v>
      </c>
      <c r="H10" s="1">
        <f t="shared" si="1"/>
        <v>20</v>
      </c>
      <c r="I10" s="34">
        <f t="shared" si="2"/>
        <v>1601996.4</v>
      </c>
      <c r="J10" s="34">
        <f t="shared" si="3"/>
        <v>217.86206896551721</v>
      </c>
      <c r="K10" s="34">
        <f t="shared" si="4"/>
        <v>4058929.4620689652</v>
      </c>
    </row>
    <row r="11" spans="1:11">
      <c r="A11" s="1">
        <v>7</v>
      </c>
      <c r="B11" s="1" t="s">
        <v>166</v>
      </c>
      <c r="C11" s="1" t="s">
        <v>178</v>
      </c>
      <c r="D11" s="4" t="s">
        <v>182</v>
      </c>
      <c r="E11" s="32">
        <v>333</v>
      </c>
      <c r="F11" s="33" t="s">
        <v>37</v>
      </c>
      <c r="G11" s="1">
        <f t="shared" si="0"/>
        <v>0.8</v>
      </c>
      <c r="H11" s="1">
        <f t="shared" si="1"/>
        <v>20</v>
      </c>
      <c r="I11" s="34">
        <f t="shared" si="2"/>
        <v>1601996.4</v>
      </c>
      <c r="J11" s="34">
        <f t="shared" si="3"/>
        <v>217.86206896551721</v>
      </c>
      <c r="K11" s="34">
        <f t="shared" si="4"/>
        <v>4058929.4620689652</v>
      </c>
    </row>
    <row r="12" spans="1:11">
      <c r="A12" s="1"/>
      <c r="B12" s="1" t="s">
        <v>183</v>
      </c>
      <c r="C12" s="1"/>
      <c r="D12" s="1"/>
      <c r="E12" s="32">
        <f>SUM(E5:E11)</f>
        <v>3159</v>
      </c>
      <c r="F12" s="1"/>
      <c r="G12" s="1">
        <f>SUM(G5:G11)</f>
        <v>11.600000000000001</v>
      </c>
      <c r="H12" s="1"/>
      <c r="I12" s="1"/>
      <c r="J12" s="1"/>
      <c r="K12" s="1"/>
    </row>
    <row r="14" spans="1:11">
      <c r="C14" s="30" t="s">
        <v>184</v>
      </c>
      <c r="D14" s="30"/>
      <c r="G14" s="30" t="s">
        <v>188</v>
      </c>
    </row>
    <row r="15" spans="1:11">
      <c r="C15" s="1"/>
      <c r="D15" s="2" t="s">
        <v>185</v>
      </c>
      <c r="E15" s="2" t="s">
        <v>186</v>
      </c>
      <c r="G15" s="2" t="s">
        <v>160</v>
      </c>
      <c r="H15" s="2" t="s">
        <v>189</v>
      </c>
    </row>
    <row r="16" spans="1:11">
      <c r="C16" s="2" t="s">
        <v>35</v>
      </c>
      <c r="D16" s="1">
        <v>50</v>
      </c>
      <c r="E16" s="1">
        <v>40</v>
      </c>
      <c r="G16" s="2" t="s">
        <v>35</v>
      </c>
      <c r="H16" s="1">
        <v>2.5</v>
      </c>
    </row>
    <row r="17" spans="1:11">
      <c r="C17" s="2" t="s">
        <v>187</v>
      </c>
      <c r="D17" s="1">
        <v>40</v>
      </c>
      <c r="E17" s="1">
        <v>30</v>
      </c>
      <c r="G17" s="2" t="s">
        <v>38</v>
      </c>
      <c r="H17" s="1">
        <v>2</v>
      </c>
    </row>
    <row r="18" spans="1:11">
      <c r="C18" s="2" t="s">
        <v>36</v>
      </c>
      <c r="D18" s="1">
        <v>30</v>
      </c>
      <c r="E18" s="1">
        <v>20</v>
      </c>
      <c r="G18" s="2" t="s">
        <v>36</v>
      </c>
      <c r="H18" s="1">
        <v>1</v>
      </c>
    </row>
    <row r="19" spans="1:11">
      <c r="C19" s="2" t="s">
        <v>37</v>
      </c>
      <c r="D19" s="1">
        <v>20</v>
      </c>
      <c r="E19" s="1">
        <v>0</v>
      </c>
      <c r="G19" s="2" t="s">
        <v>37</v>
      </c>
      <c r="H19" s="1">
        <v>0.8</v>
      </c>
    </row>
    <row r="23" spans="1:11">
      <c r="A23" s="17" t="s">
        <v>82</v>
      </c>
      <c r="B23" s="17" t="s">
        <v>1</v>
      </c>
      <c r="C23" s="17" t="s">
        <v>157</v>
      </c>
      <c r="D23" s="17" t="s">
        <v>158</v>
      </c>
      <c r="E23" s="31" t="s">
        <v>159</v>
      </c>
      <c r="F23" s="17" t="s">
        <v>160</v>
      </c>
      <c r="G23" s="31" t="s">
        <v>161</v>
      </c>
      <c r="H23" s="17" t="s">
        <v>162</v>
      </c>
      <c r="I23" s="31" t="s">
        <v>163</v>
      </c>
      <c r="J23" s="17" t="s">
        <v>164</v>
      </c>
      <c r="K23" s="31" t="s">
        <v>165</v>
      </c>
    </row>
    <row r="24" spans="1:11">
      <c r="A24" s="1">
        <v>1</v>
      </c>
      <c r="B24" s="1" t="s">
        <v>166</v>
      </c>
      <c r="C24" s="1" t="s">
        <v>172</v>
      </c>
      <c r="D24" s="4" t="s">
        <v>179</v>
      </c>
      <c r="E24" s="32">
        <v>560</v>
      </c>
      <c r="F24" s="33" t="s">
        <v>35</v>
      </c>
      <c r="G24" s="1">
        <f t="shared" ref="G24:G26" si="5">VLOOKUP(F24,$G$15:$H$19,2,0)</f>
        <v>2.5</v>
      </c>
      <c r="H24" s="1">
        <f t="shared" ref="H24:H26" si="6">VLOOKUP(LEFT(D24,1),$C$15:$E$19,IF(RIGHT(D24,2)="CB",2,3),0)</f>
        <v>50</v>
      </c>
      <c r="I24" s="34">
        <f t="shared" ref="I24:I26" si="7">E24*$K$2*$H$2</f>
        <v>2694048</v>
      </c>
      <c r="J24" s="34">
        <f t="shared" ref="J24:J26" si="8">$E$12/$G$12*G24</f>
        <v>680.81896551724128</v>
      </c>
      <c r="K24" s="34">
        <f t="shared" ref="K24:K26" si="9">(E24+H24)*$H$2+J24-I24</f>
        <v>7088592.818965517</v>
      </c>
    </row>
    <row r="25" spans="1:11">
      <c r="A25" s="1">
        <v>2</v>
      </c>
      <c r="B25" s="1" t="s">
        <v>167</v>
      </c>
      <c r="C25" s="1" t="s">
        <v>173</v>
      </c>
      <c r="D25" s="4" t="s">
        <v>179</v>
      </c>
      <c r="E25" s="32">
        <v>560</v>
      </c>
      <c r="F25" s="33" t="s">
        <v>38</v>
      </c>
      <c r="G25" s="1">
        <f t="shared" si="5"/>
        <v>2</v>
      </c>
      <c r="H25" s="1">
        <f t="shared" si="6"/>
        <v>50</v>
      </c>
      <c r="I25" s="34">
        <f t="shared" si="7"/>
        <v>2694048</v>
      </c>
      <c r="J25" s="34">
        <f t="shared" si="8"/>
        <v>544.65517241379303</v>
      </c>
      <c r="K25" s="34">
        <f t="shared" si="9"/>
        <v>7088456.6551724132</v>
      </c>
    </row>
    <row r="26" spans="1:11">
      <c r="A26" s="1">
        <v>3</v>
      </c>
      <c r="B26" s="1" t="s">
        <v>168</v>
      </c>
      <c r="C26" s="1" t="s">
        <v>174</v>
      </c>
      <c r="D26" s="4" t="s">
        <v>180</v>
      </c>
      <c r="E26" s="32">
        <v>560</v>
      </c>
      <c r="F26" s="33" t="s">
        <v>38</v>
      </c>
      <c r="G26" s="1">
        <f t="shared" si="5"/>
        <v>2</v>
      </c>
      <c r="H26" s="1">
        <f t="shared" si="6"/>
        <v>50</v>
      </c>
      <c r="I26" s="34">
        <f t="shared" si="7"/>
        <v>2694048</v>
      </c>
      <c r="J26" s="34">
        <f t="shared" si="8"/>
        <v>544.65517241379303</v>
      </c>
      <c r="K26" s="34">
        <f t="shared" si="9"/>
        <v>7088456.6551724132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912A-D9C9-4095-BBE8-E24BAB07549C}">
  <dimension ref="A1:J41"/>
  <sheetViews>
    <sheetView tabSelected="1" topLeftCell="A13" workbookViewId="0">
      <selection activeCell="H22" sqref="H22"/>
    </sheetView>
  </sheetViews>
  <sheetFormatPr defaultRowHeight="13.8"/>
  <cols>
    <col min="1" max="1" width="12.5546875" style="3" bestFit="1" customWidth="1"/>
    <col min="2" max="2" width="18.109375" style="3" bestFit="1" customWidth="1"/>
    <col min="3" max="3" width="12.5546875" style="3" customWidth="1"/>
    <col min="4" max="4" width="16" style="3" customWidth="1"/>
    <col min="5" max="6" width="8.88671875" style="3"/>
    <col min="7" max="7" width="15.109375" style="3" customWidth="1"/>
    <col min="8" max="8" width="9.109375" style="3" bestFit="1" customWidth="1"/>
    <col min="9" max="9" width="13" style="3" customWidth="1"/>
    <col min="10" max="10" width="14.44140625" style="3" customWidth="1"/>
    <col min="11" max="16384" width="8.88671875" style="3"/>
  </cols>
  <sheetData>
    <row r="1" spans="1:10">
      <c r="C1" s="3" t="s">
        <v>190</v>
      </c>
    </row>
    <row r="3" spans="1:10">
      <c r="A3" s="2" t="s">
        <v>82</v>
      </c>
      <c r="B3" s="2" t="s">
        <v>191</v>
      </c>
      <c r="C3" s="2" t="s">
        <v>192</v>
      </c>
      <c r="D3" s="2" t="s">
        <v>193</v>
      </c>
      <c r="E3" s="2" t="s">
        <v>194</v>
      </c>
      <c r="F3" s="2" t="s">
        <v>195</v>
      </c>
      <c r="G3" s="2" t="s">
        <v>196</v>
      </c>
      <c r="H3" s="2" t="s">
        <v>126</v>
      </c>
      <c r="I3" s="2" t="s">
        <v>197</v>
      </c>
      <c r="J3" s="2" t="s">
        <v>198</v>
      </c>
    </row>
    <row r="4" spans="1:10">
      <c r="A4" s="1">
        <v>1</v>
      </c>
      <c r="B4" s="1" t="s">
        <v>200</v>
      </c>
      <c r="C4" s="1" t="str">
        <f t="shared" ref="C4:C15" si="0">IF(LEFT(B4)="0",VLOOKUP(LEFT(B4,3)*1,$A$18:$C$25,2,0),"Nội hạt")</f>
        <v>Hà Nội</v>
      </c>
      <c r="D4" s="1">
        <f t="shared" ref="D4:D15" si="1">IF(LEFT(B4)="0",VLOOKUP(LEFT(B4,3)*1,$A$18:$C$25,3,0),3)</f>
        <v>1</v>
      </c>
      <c r="E4" s="35">
        <v>0.50277777777777777</v>
      </c>
      <c r="F4" s="35">
        <v>0.53888888888888886</v>
      </c>
      <c r="G4" s="1">
        <f t="shared" ref="G4:G15" si="2">(F4-E4)*24*60</f>
        <v>51.999999999999972</v>
      </c>
      <c r="H4" s="36">
        <f t="shared" ref="H4:H15" si="3">IF(LEFT(B4)="0",VLOOKUP(D4,$E$18:$F$21,2,0),800)</f>
        <v>3850</v>
      </c>
      <c r="I4" s="1">
        <f t="shared" ref="I4:I15" si="4">IF(LEFT(B4)="0",G4,ROUNDUP(G4/3,0))</f>
        <v>51.999999999999972</v>
      </c>
      <c r="J4" s="36">
        <f t="shared" ref="J4:J15" si="5">H4*I4</f>
        <v>200199.99999999988</v>
      </c>
    </row>
    <row r="5" spans="1:10">
      <c r="A5" s="1">
        <v>2</v>
      </c>
      <c r="B5" s="1" t="s">
        <v>199</v>
      </c>
      <c r="C5" s="1" t="str">
        <f t="shared" si="0"/>
        <v>Bình Định</v>
      </c>
      <c r="D5" s="1">
        <f t="shared" si="1"/>
        <v>2</v>
      </c>
      <c r="E5" s="35">
        <v>0.34861111111111115</v>
      </c>
      <c r="F5" s="35">
        <v>0.35069444444444442</v>
      </c>
      <c r="G5" s="1">
        <f t="shared" si="2"/>
        <v>2.9999999999999094</v>
      </c>
      <c r="H5" s="36">
        <f t="shared" si="3"/>
        <v>2380</v>
      </c>
      <c r="I5" s="1">
        <f t="shared" si="4"/>
        <v>2.9999999999999094</v>
      </c>
      <c r="J5" s="36">
        <f t="shared" si="5"/>
        <v>7139.9999999997844</v>
      </c>
    </row>
    <row r="6" spans="1:10">
      <c r="A6" s="1">
        <v>3</v>
      </c>
      <c r="B6" s="1" t="s">
        <v>202</v>
      </c>
      <c r="C6" s="1" t="str">
        <f t="shared" si="0"/>
        <v>Đồng Nai</v>
      </c>
      <c r="D6" s="1">
        <f t="shared" si="1"/>
        <v>3</v>
      </c>
      <c r="E6" s="35">
        <v>0.875</v>
      </c>
      <c r="F6" s="35">
        <v>0.9</v>
      </c>
      <c r="G6" s="1">
        <f t="shared" si="2"/>
        <v>36.000000000000028</v>
      </c>
      <c r="H6" s="36">
        <f t="shared" si="3"/>
        <v>1500</v>
      </c>
      <c r="I6" s="1">
        <f t="shared" si="4"/>
        <v>36.000000000000028</v>
      </c>
      <c r="J6" s="36">
        <f t="shared" si="5"/>
        <v>54000.000000000044</v>
      </c>
    </row>
    <row r="7" spans="1:10">
      <c r="A7" s="1">
        <v>4</v>
      </c>
      <c r="B7" s="1" t="s">
        <v>203</v>
      </c>
      <c r="C7" s="1" t="str">
        <f t="shared" si="0"/>
        <v>Lâm Đồng</v>
      </c>
      <c r="D7" s="1">
        <f t="shared" si="1"/>
        <v>3</v>
      </c>
      <c r="E7" s="35">
        <v>0.3354166666666667</v>
      </c>
      <c r="F7" s="35">
        <v>0.35069444444444442</v>
      </c>
      <c r="G7" s="1">
        <f t="shared" si="2"/>
        <v>21.999999999999922</v>
      </c>
      <c r="H7" s="36">
        <f t="shared" si="3"/>
        <v>1500</v>
      </c>
      <c r="I7" s="1">
        <f t="shared" si="4"/>
        <v>21.999999999999922</v>
      </c>
      <c r="J7" s="36">
        <f t="shared" si="5"/>
        <v>32999.999999999884</v>
      </c>
    </row>
    <row r="8" spans="1:10">
      <c r="A8" s="1">
        <v>5</v>
      </c>
      <c r="B8" s="1">
        <v>8434269</v>
      </c>
      <c r="C8" s="1" t="str">
        <f t="shared" si="0"/>
        <v>Nội hạt</v>
      </c>
      <c r="D8" s="1">
        <f t="shared" si="1"/>
        <v>3</v>
      </c>
      <c r="E8" s="35">
        <v>0.42708333333333331</v>
      </c>
      <c r="F8" s="35">
        <v>0.44236111111111115</v>
      </c>
      <c r="G8" s="1">
        <f t="shared" si="2"/>
        <v>22.000000000000082</v>
      </c>
      <c r="H8" s="36">
        <f t="shared" si="3"/>
        <v>800</v>
      </c>
      <c r="I8" s="1">
        <f t="shared" si="4"/>
        <v>8</v>
      </c>
      <c r="J8" s="36">
        <f t="shared" si="5"/>
        <v>6400</v>
      </c>
    </row>
    <row r="9" spans="1:10">
      <c r="A9" s="1">
        <v>6</v>
      </c>
      <c r="B9" s="1">
        <v>8322883</v>
      </c>
      <c r="C9" s="1" t="str">
        <f t="shared" si="0"/>
        <v>Nội hạt</v>
      </c>
      <c r="D9" s="1">
        <f t="shared" si="1"/>
        <v>3</v>
      </c>
      <c r="E9" s="35">
        <v>0.64583333333333337</v>
      </c>
      <c r="F9" s="35">
        <v>0.65625</v>
      </c>
      <c r="G9" s="1">
        <f t="shared" si="2"/>
        <v>14.999999999999947</v>
      </c>
      <c r="H9" s="36">
        <f t="shared" si="3"/>
        <v>800</v>
      </c>
      <c r="I9" s="1">
        <f t="shared" si="4"/>
        <v>5</v>
      </c>
      <c r="J9" s="36">
        <f t="shared" si="5"/>
        <v>4000</v>
      </c>
    </row>
    <row r="10" spans="1:10">
      <c r="A10" s="1">
        <v>7</v>
      </c>
      <c r="B10" s="1">
        <v>8399047</v>
      </c>
      <c r="C10" s="1" t="str">
        <f t="shared" si="0"/>
        <v>Nội hạt</v>
      </c>
      <c r="D10" s="1">
        <f t="shared" si="1"/>
        <v>3</v>
      </c>
      <c r="E10" s="35">
        <v>0.66666666666666663</v>
      </c>
      <c r="F10" s="35">
        <v>0.71527777777777779</v>
      </c>
      <c r="G10" s="1">
        <f t="shared" si="2"/>
        <v>70.000000000000071</v>
      </c>
      <c r="H10" s="36">
        <f t="shared" si="3"/>
        <v>800</v>
      </c>
      <c r="I10" s="1">
        <f t="shared" si="4"/>
        <v>24</v>
      </c>
      <c r="J10" s="36">
        <f t="shared" si="5"/>
        <v>19200</v>
      </c>
    </row>
    <row r="11" spans="1:10">
      <c r="A11" s="1">
        <v>8</v>
      </c>
      <c r="B11" s="1">
        <v>8999675</v>
      </c>
      <c r="C11" s="1" t="str">
        <f t="shared" si="0"/>
        <v>Nội hạt</v>
      </c>
      <c r="D11" s="1">
        <f t="shared" si="1"/>
        <v>3</v>
      </c>
      <c r="E11" s="35">
        <v>0.70000000000000007</v>
      </c>
      <c r="F11" s="35">
        <v>0.72916666666666663</v>
      </c>
      <c r="G11" s="1">
        <f t="shared" si="2"/>
        <v>41.999999999999851</v>
      </c>
      <c r="H11" s="36">
        <f t="shared" si="3"/>
        <v>800</v>
      </c>
      <c r="I11" s="1">
        <f t="shared" si="4"/>
        <v>14</v>
      </c>
      <c r="J11" s="36">
        <f t="shared" si="5"/>
        <v>11200</v>
      </c>
    </row>
    <row r="12" spans="1:10">
      <c r="A12" s="1">
        <v>9</v>
      </c>
      <c r="B12" s="1">
        <v>8438721</v>
      </c>
      <c r="C12" s="1" t="str">
        <f t="shared" si="0"/>
        <v>Nội hạt</v>
      </c>
      <c r="D12" s="1">
        <f t="shared" si="1"/>
        <v>3</v>
      </c>
      <c r="E12" s="35">
        <v>0.86458333333333337</v>
      </c>
      <c r="F12" s="35">
        <v>0.875</v>
      </c>
      <c r="G12" s="1">
        <f t="shared" si="2"/>
        <v>14.999999999999947</v>
      </c>
      <c r="H12" s="36">
        <f t="shared" si="3"/>
        <v>800</v>
      </c>
      <c r="I12" s="1">
        <f t="shared" si="4"/>
        <v>5</v>
      </c>
      <c r="J12" s="36">
        <f t="shared" si="5"/>
        <v>4000</v>
      </c>
    </row>
    <row r="13" spans="1:10">
      <c r="A13" s="1">
        <v>10</v>
      </c>
      <c r="B13" s="1">
        <v>8391999</v>
      </c>
      <c r="C13" s="1" t="str">
        <f t="shared" si="0"/>
        <v>Nội hạt</v>
      </c>
      <c r="D13" s="1">
        <f t="shared" si="1"/>
        <v>3</v>
      </c>
      <c r="E13" s="35">
        <v>0.30208333333333331</v>
      </c>
      <c r="F13" s="35">
        <v>0.30902777777777779</v>
      </c>
      <c r="G13" s="1">
        <f t="shared" si="2"/>
        <v>10.000000000000044</v>
      </c>
      <c r="H13" s="36">
        <f t="shared" si="3"/>
        <v>800</v>
      </c>
      <c r="I13" s="1">
        <f t="shared" si="4"/>
        <v>4</v>
      </c>
      <c r="J13" s="36">
        <f t="shared" si="5"/>
        <v>3200</v>
      </c>
    </row>
    <row r="14" spans="1:10">
      <c r="A14" s="1">
        <v>11</v>
      </c>
      <c r="B14" s="1">
        <v>8360182</v>
      </c>
      <c r="C14" s="1" t="str">
        <f t="shared" si="0"/>
        <v>Nội hạt</v>
      </c>
      <c r="D14" s="1">
        <f t="shared" si="1"/>
        <v>3</v>
      </c>
      <c r="E14" s="35">
        <v>0.27083333333333331</v>
      </c>
      <c r="F14" s="35">
        <v>0.29236111111111113</v>
      </c>
      <c r="G14" s="1">
        <f t="shared" si="2"/>
        <v>31.00000000000005</v>
      </c>
      <c r="H14" s="36">
        <f t="shared" si="3"/>
        <v>800</v>
      </c>
      <c r="I14" s="1">
        <f t="shared" si="4"/>
        <v>11</v>
      </c>
      <c r="J14" s="36">
        <f t="shared" si="5"/>
        <v>8800</v>
      </c>
    </row>
    <row r="15" spans="1:10">
      <c r="A15" s="1">
        <v>12</v>
      </c>
      <c r="B15" s="1" t="s">
        <v>201</v>
      </c>
      <c r="C15" s="1" t="str">
        <f t="shared" si="0"/>
        <v>Vũng Tàu</v>
      </c>
      <c r="D15" s="1">
        <f t="shared" si="1"/>
        <v>3</v>
      </c>
      <c r="E15" s="35">
        <v>0.71875</v>
      </c>
      <c r="F15" s="35">
        <v>0.72916666666666663</v>
      </c>
      <c r="G15" s="1">
        <f t="shared" si="2"/>
        <v>14.999999999999947</v>
      </c>
      <c r="H15" s="36">
        <f t="shared" si="3"/>
        <v>1500</v>
      </c>
      <c r="I15" s="1">
        <f t="shared" si="4"/>
        <v>14.999999999999947</v>
      </c>
      <c r="J15" s="36">
        <f t="shared" si="5"/>
        <v>22499.99999999992</v>
      </c>
    </row>
    <row r="17" spans="1:10">
      <c r="A17" s="3" t="s">
        <v>30</v>
      </c>
      <c r="E17" s="3" t="s">
        <v>42</v>
      </c>
    </row>
    <row r="18" spans="1:10">
      <c r="A18" s="2" t="s">
        <v>204</v>
      </c>
      <c r="B18" s="2" t="s">
        <v>192</v>
      </c>
      <c r="C18" s="2" t="s">
        <v>193</v>
      </c>
      <c r="E18" s="2" t="s">
        <v>193</v>
      </c>
      <c r="F18" s="2" t="s">
        <v>126</v>
      </c>
    </row>
    <row r="19" spans="1:10">
      <c r="A19" s="1">
        <v>14</v>
      </c>
      <c r="B19" s="1" t="s">
        <v>211</v>
      </c>
      <c r="C19" s="1">
        <v>1</v>
      </c>
      <c r="E19" s="1">
        <v>1</v>
      </c>
      <c r="F19" s="1">
        <v>3850</v>
      </c>
    </row>
    <row r="20" spans="1:10">
      <c r="A20" s="1">
        <v>56</v>
      </c>
      <c r="B20" s="1" t="s">
        <v>210</v>
      </c>
      <c r="C20" s="1">
        <v>2</v>
      </c>
      <c r="E20" s="1">
        <v>2</v>
      </c>
      <c r="F20" s="1">
        <v>2380</v>
      </c>
    </row>
    <row r="21" spans="1:10">
      <c r="A21" s="1">
        <v>58</v>
      </c>
      <c r="B21" s="1" t="s">
        <v>209</v>
      </c>
      <c r="C21" s="1">
        <v>2</v>
      </c>
      <c r="E21" s="1">
        <v>3</v>
      </c>
      <c r="F21" s="1">
        <v>1500</v>
      </c>
    </row>
    <row r="22" spans="1:10">
      <c r="A22" s="1">
        <v>61</v>
      </c>
      <c r="B22" s="1" t="s">
        <v>208</v>
      </c>
      <c r="C22" s="1">
        <v>3</v>
      </c>
    </row>
    <row r="23" spans="1:10">
      <c r="A23" s="1">
        <v>63</v>
      </c>
      <c r="B23" s="1" t="s">
        <v>207</v>
      </c>
      <c r="C23" s="1">
        <v>3</v>
      </c>
    </row>
    <row r="24" spans="1:10">
      <c r="A24" s="1">
        <v>64</v>
      </c>
      <c r="B24" s="1" t="s">
        <v>206</v>
      </c>
      <c r="C24" s="1">
        <v>3</v>
      </c>
    </row>
    <row r="25" spans="1:10">
      <c r="A25" s="1">
        <v>65</v>
      </c>
      <c r="B25" s="1" t="s">
        <v>205</v>
      </c>
      <c r="C25" s="1">
        <v>3</v>
      </c>
    </row>
    <row r="27" spans="1:10">
      <c r="C27" s="7" t="s">
        <v>212</v>
      </c>
      <c r="D27" s="7"/>
    </row>
    <row r="29" spans="1:10">
      <c r="A29" s="2" t="s">
        <v>82</v>
      </c>
      <c r="B29" s="2" t="s">
        <v>191</v>
      </c>
      <c r="C29" s="2" t="s">
        <v>192</v>
      </c>
      <c r="D29" s="2" t="s">
        <v>193</v>
      </c>
      <c r="E29" s="2" t="s">
        <v>194</v>
      </c>
      <c r="F29" s="2" t="s">
        <v>195</v>
      </c>
      <c r="G29" s="2" t="s">
        <v>196</v>
      </c>
      <c r="H29" s="2" t="s">
        <v>126</v>
      </c>
      <c r="I29" s="2" t="s">
        <v>197</v>
      </c>
      <c r="J29" s="2" t="s">
        <v>198</v>
      </c>
    </row>
    <row r="30" spans="1:10">
      <c r="A30" s="1">
        <v>1</v>
      </c>
      <c r="B30" s="1" t="s">
        <v>200</v>
      </c>
      <c r="C30" s="1" t="s">
        <v>211</v>
      </c>
      <c r="D30" s="1">
        <v>1</v>
      </c>
      <c r="E30" s="35">
        <v>0.50277777777777777</v>
      </c>
      <c r="F30" s="35">
        <v>0.53888888888888886</v>
      </c>
      <c r="G30" s="1">
        <v>51.999999999999972</v>
      </c>
      <c r="H30" s="36">
        <v>3850</v>
      </c>
      <c r="I30" s="1">
        <v>51.999999999999972</v>
      </c>
      <c r="J30" s="36">
        <v>200199.99999999988</v>
      </c>
    </row>
    <row r="31" spans="1:10">
      <c r="A31" s="1">
        <v>3</v>
      </c>
      <c r="B31" s="1" t="s">
        <v>202</v>
      </c>
      <c r="C31" s="1" t="s">
        <v>208</v>
      </c>
      <c r="D31" s="1">
        <v>3</v>
      </c>
      <c r="E31" s="35">
        <v>0.875</v>
      </c>
      <c r="F31" s="35">
        <v>0.9</v>
      </c>
      <c r="G31" s="1">
        <v>36.000000000000028</v>
      </c>
      <c r="H31" s="36">
        <v>1500</v>
      </c>
      <c r="I31" s="1">
        <v>36.000000000000028</v>
      </c>
      <c r="J31" s="36">
        <v>54000.000000000044</v>
      </c>
    </row>
    <row r="32" spans="1:10">
      <c r="A32" s="1">
        <v>4</v>
      </c>
      <c r="B32" s="1" t="s">
        <v>203</v>
      </c>
      <c r="C32" s="1" t="s">
        <v>207</v>
      </c>
      <c r="D32" s="1">
        <v>3</v>
      </c>
      <c r="E32" s="35">
        <v>0.3354166666666667</v>
      </c>
      <c r="F32" s="35">
        <v>0.35069444444444442</v>
      </c>
      <c r="G32" s="1">
        <v>21.999999999999922</v>
      </c>
      <c r="H32" s="36">
        <v>1500</v>
      </c>
      <c r="I32" s="1">
        <v>21.999999999999922</v>
      </c>
      <c r="J32" s="36">
        <v>32999.999999999884</v>
      </c>
    </row>
    <row r="33" spans="1:10">
      <c r="A33" s="1">
        <v>12</v>
      </c>
      <c r="B33" s="1" t="s">
        <v>201</v>
      </c>
      <c r="C33" s="1" t="s">
        <v>206</v>
      </c>
      <c r="D33" s="1">
        <v>3</v>
      </c>
      <c r="E33" s="35">
        <v>0.71875</v>
      </c>
      <c r="F33" s="35">
        <v>0.72916666666666663</v>
      </c>
      <c r="G33" s="1">
        <v>14.999999999999947</v>
      </c>
      <c r="H33" s="36">
        <v>1500</v>
      </c>
      <c r="I33" s="1">
        <v>14.999999999999947</v>
      </c>
      <c r="J33" s="36">
        <v>22499.99999999992</v>
      </c>
    </row>
    <row r="35" spans="1:10">
      <c r="C35" s="7" t="s">
        <v>216</v>
      </c>
      <c r="D35" s="7"/>
    </row>
    <row r="37" spans="1:10">
      <c r="C37" s="37" t="s">
        <v>214</v>
      </c>
      <c r="D37" s="3" t="s">
        <v>213</v>
      </c>
    </row>
    <row r="38" spans="1:10">
      <c r="C38" s="38">
        <v>1</v>
      </c>
      <c r="D38" s="3">
        <v>200199.99999999988</v>
      </c>
    </row>
    <row r="39" spans="1:10">
      <c r="C39" s="38">
        <v>2</v>
      </c>
      <c r="D39" s="3">
        <v>7139.9999999997844</v>
      </c>
    </row>
    <row r="40" spans="1:10">
      <c r="C40" s="38">
        <v>3</v>
      </c>
      <c r="D40" s="3">
        <v>166299.99999999985</v>
      </c>
    </row>
    <row r="41" spans="1:10">
      <c r="C41" s="38" t="s">
        <v>215</v>
      </c>
      <c r="D41" s="3">
        <v>373639.99999999953</v>
      </c>
    </row>
  </sheetData>
  <sortState xmlns:xlrd2="http://schemas.microsoft.com/office/spreadsheetml/2017/richdata2" ref="A4:J15">
    <sortCondition ref="D4:D15"/>
    <sortCondition ref="C4:C15"/>
  </sortState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BT1</vt:lpstr>
      <vt:lpstr>DS DAU</vt:lpstr>
      <vt:lpstr>BT2</vt:lpstr>
      <vt:lpstr>BT3</vt:lpstr>
      <vt:lpstr>BT4</vt:lpstr>
      <vt:lpstr>BT5</vt:lpstr>
      <vt:lpstr>BT6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2023-11-05T01:42:31Z</dcterms:created>
  <dcterms:modified xsi:type="dcterms:W3CDTF">2023-12-05T15:49:04Z</dcterms:modified>
</cp:coreProperties>
</file>