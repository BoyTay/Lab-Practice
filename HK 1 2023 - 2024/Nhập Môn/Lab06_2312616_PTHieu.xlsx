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94CA213-0AB3-4698-A0B2-32387BA7A3C3}" xr6:coauthVersionLast="47" xr6:coauthVersionMax="47" xr10:uidLastSave="{00000000-0000-0000-0000-000000000000}"/>
  <bookViews>
    <workbookView xWindow="-108" yWindow="-108" windowWidth="23256" windowHeight="12456" activeTab="1" xr2:uid="{89C23F89-3573-4F86-A5E4-D51772B88E0E}"/>
  </bookViews>
  <sheets>
    <sheet name="BT1" sheetId="1" r:id="rId1"/>
    <sheet name="BT2" sheetId="2" r:id="rId2"/>
    <sheet name="BT3" sheetId="3" r:id="rId3"/>
    <sheet name="BT4" sheetId="4" r:id="rId4"/>
  </sheets>
  <definedNames>
    <definedName name="_xlnm._FilterDatabase" localSheetId="2" hidden="1">'BT3'!$B$4:$Q$19</definedName>
    <definedName name="_xlnm._FilterDatabase" localSheetId="3" hidden="1">'BT4'!$A$1:$I$12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0" i="1" l="1"/>
  <c r="B49" i="1"/>
  <c r="D16" i="4"/>
  <c r="D15" i="4"/>
  <c r="H12" i="4"/>
  <c r="I12" i="4" s="1"/>
  <c r="A12" i="4"/>
  <c r="H11" i="4"/>
  <c r="I11" i="4" s="1"/>
  <c r="A11" i="4"/>
  <c r="H10" i="4"/>
  <c r="I10" i="4" s="1"/>
  <c r="H9" i="4"/>
  <c r="I9" i="4" s="1"/>
  <c r="H8" i="4"/>
  <c r="I8" i="4" s="1"/>
  <c r="H7" i="4"/>
  <c r="I7" i="4" s="1"/>
  <c r="H6" i="4"/>
  <c r="I6" i="4" s="1"/>
  <c r="H5" i="4"/>
  <c r="I5" i="4" s="1"/>
  <c r="H4" i="4"/>
  <c r="I4" i="4" s="1"/>
  <c r="H3" i="4"/>
  <c r="I3" i="4" s="1"/>
  <c r="H2" i="4"/>
  <c r="I2" i="4" s="1"/>
  <c r="M19" i="3" l="1"/>
  <c r="N19" i="3" s="1"/>
  <c r="M18" i="3"/>
  <c r="N18" i="3" s="1"/>
  <c r="M17" i="3"/>
  <c r="N17" i="3" s="1"/>
  <c r="M16" i="3"/>
  <c r="N16" i="3" s="1"/>
  <c r="M14" i="3"/>
  <c r="N14" i="3" s="1"/>
  <c r="M15" i="3"/>
  <c r="N15" i="3" s="1"/>
  <c r="M13" i="3"/>
  <c r="N13" i="3" s="1"/>
  <c r="M12" i="3"/>
  <c r="N12" i="3" s="1"/>
  <c r="M11" i="3"/>
  <c r="N11" i="3" s="1"/>
  <c r="M10" i="3"/>
  <c r="N10" i="3" s="1"/>
  <c r="M9" i="3"/>
  <c r="N9" i="3" s="1"/>
  <c r="M8" i="3"/>
  <c r="N8" i="3" s="1"/>
  <c r="M7" i="3"/>
  <c r="N7" i="3" s="1"/>
  <c r="M6" i="3"/>
  <c r="N6" i="3" s="1"/>
  <c r="M5" i="3"/>
  <c r="N5" i="3" s="1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5" i="3"/>
  <c r="K6" i="3"/>
  <c r="O15" i="3" s="1"/>
  <c r="P15" i="3" s="1"/>
  <c r="K7" i="3"/>
  <c r="K8" i="3"/>
  <c r="O8" i="3" s="1"/>
  <c r="P8" i="3" s="1"/>
  <c r="K9" i="3"/>
  <c r="K10" i="3"/>
  <c r="K11" i="3"/>
  <c r="O11" i="3" s="1"/>
  <c r="P11" i="3" s="1"/>
  <c r="K12" i="3"/>
  <c r="K13" i="3"/>
  <c r="K14" i="3"/>
  <c r="O14" i="3" s="1"/>
  <c r="P14" i="3" s="1"/>
  <c r="K15" i="3"/>
  <c r="K16" i="3"/>
  <c r="O16" i="3" s="1"/>
  <c r="P16" i="3" s="1"/>
  <c r="K17" i="3"/>
  <c r="O17" i="3" s="1"/>
  <c r="P17" i="3" s="1"/>
  <c r="K18" i="3"/>
  <c r="O18" i="3" s="1"/>
  <c r="P18" i="3" s="1"/>
  <c r="K19" i="3"/>
  <c r="K5" i="3"/>
  <c r="P2" i="2"/>
  <c r="Q2" i="2"/>
  <c r="Q3" i="2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5" i="3"/>
  <c r="T10" i="2"/>
  <c r="T15" i="2"/>
  <c r="T3" i="2"/>
  <c r="T9" i="2"/>
  <c r="T6" i="2"/>
  <c r="T2" i="2"/>
  <c r="T20" i="2"/>
  <c r="T18" i="2"/>
  <c r="T7" i="2"/>
  <c r="T16" i="2"/>
  <c r="T11" i="2"/>
  <c r="T14" i="2"/>
  <c r="T12" i="2"/>
  <c r="T17" i="2"/>
  <c r="T8" i="2"/>
  <c r="T13" i="2"/>
  <c r="T21" i="2"/>
  <c r="T5" i="2"/>
  <c r="T4" i="2"/>
  <c r="T19" i="2"/>
  <c r="S10" i="2"/>
  <c r="S15" i="2"/>
  <c r="S3" i="2"/>
  <c r="S9" i="2"/>
  <c r="S6" i="2"/>
  <c r="S2" i="2"/>
  <c r="S20" i="2"/>
  <c r="S18" i="2"/>
  <c r="S7" i="2"/>
  <c r="S16" i="2"/>
  <c r="S11" i="2"/>
  <c r="S14" i="2"/>
  <c r="S12" i="2"/>
  <c r="S17" i="2"/>
  <c r="S8" i="2"/>
  <c r="S13" i="2"/>
  <c r="S21" i="2"/>
  <c r="S5" i="2"/>
  <c r="S4" i="2"/>
  <c r="S19" i="2"/>
  <c r="P10" i="2"/>
  <c r="Q10" i="2" s="1"/>
  <c r="P15" i="2"/>
  <c r="Q15" i="2" s="1"/>
  <c r="P3" i="2"/>
  <c r="R3" i="2" s="1"/>
  <c r="P9" i="2"/>
  <c r="Q9" i="2" s="1"/>
  <c r="P6" i="2"/>
  <c r="Q6" i="2" s="1"/>
  <c r="P20" i="2"/>
  <c r="Q20" i="2" s="1"/>
  <c r="R20" i="2" s="1"/>
  <c r="P18" i="2"/>
  <c r="Q18" i="2" s="1"/>
  <c r="P7" i="2"/>
  <c r="Q7" i="2" s="1"/>
  <c r="P16" i="2"/>
  <c r="Q16" i="2" s="1"/>
  <c r="P11" i="2"/>
  <c r="Q11" i="2" s="1"/>
  <c r="R11" i="2" s="1"/>
  <c r="P14" i="2"/>
  <c r="Q14" i="2" s="1"/>
  <c r="P12" i="2"/>
  <c r="Q12" i="2" s="1"/>
  <c r="P17" i="2"/>
  <c r="Q17" i="2" s="1"/>
  <c r="P8" i="2"/>
  <c r="Q8" i="2" s="1"/>
  <c r="R8" i="2" s="1"/>
  <c r="P13" i="2"/>
  <c r="Q13" i="2" s="1"/>
  <c r="P21" i="2"/>
  <c r="Q21" i="2" s="1"/>
  <c r="P5" i="2"/>
  <c r="Q5" i="2" s="1"/>
  <c r="P4" i="2"/>
  <c r="Q4" i="2" s="1"/>
  <c r="R4" i="2" s="1"/>
  <c r="P19" i="2"/>
  <c r="Q19" i="2" s="1"/>
  <c r="N19" i="2"/>
  <c r="N10" i="2"/>
  <c r="N15" i="2"/>
  <c r="N3" i="2"/>
  <c r="N9" i="2"/>
  <c r="N6" i="2"/>
  <c r="N2" i="2"/>
  <c r="N20" i="2"/>
  <c r="N18" i="2"/>
  <c r="N7" i="2"/>
  <c r="N16" i="2"/>
  <c r="N11" i="2"/>
  <c r="N14" i="2"/>
  <c r="N12" i="2"/>
  <c r="N17" i="2"/>
  <c r="N8" i="2"/>
  <c r="N13" i="2"/>
  <c r="N21" i="2"/>
  <c r="N5" i="2"/>
  <c r="N4" i="2"/>
  <c r="M10" i="2"/>
  <c r="O10" i="2" s="1"/>
  <c r="M15" i="2"/>
  <c r="O15" i="2" s="1"/>
  <c r="M3" i="2"/>
  <c r="O3" i="2" s="1"/>
  <c r="M9" i="2"/>
  <c r="R9" i="2" s="1"/>
  <c r="M6" i="2"/>
  <c r="O6" i="2" s="1"/>
  <c r="M2" i="2"/>
  <c r="O2" i="2" s="1"/>
  <c r="M20" i="2"/>
  <c r="O20" i="2" s="1"/>
  <c r="M18" i="2"/>
  <c r="R18" i="2" s="1"/>
  <c r="M7" i="2"/>
  <c r="O7" i="2" s="1"/>
  <c r="M16" i="2"/>
  <c r="O16" i="2" s="1"/>
  <c r="M11" i="2"/>
  <c r="O11" i="2" s="1"/>
  <c r="M14" i="2"/>
  <c r="R14" i="2" s="1"/>
  <c r="M12" i="2"/>
  <c r="O12" i="2" s="1"/>
  <c r="M17" i="2"/>
  <c r="O17" i="2" s="1"/>
  <c r="M8" i="2"/>
  <c r="O8" i="2" s="1"/>
  <c r="M13" i="2"/>
  <c r="R13" i="2" s="1"/>
  <c r="M21" i="2"/>
  <c r="O21" i="2" s="1"/>
  <c r="M5" i="2"/>
  <c r="O5" i="2" s="1"/>
  <c r="M4" i="2"/>
  <c r="O4" i="2" s="1"/>
  <c r="M19" i="2"/>
  <c r="R19" i="2" s="1"/>
  <c r="B4" i="2"/>
  <c r="B10" i="2"/>
  <c r="B15" i="2"/>
  <c r="B3" i="2"/>
  <c r="B9" i="2"/>
  <c r="B6" i="2"/>
  <c r="B2" i="2"/>
  <c r="B20" i="2"/>
  <c r="B18" i="2"/>
  <c r="B7" i="2"/>
  <c r="B16" i="2"/>
  <c r="B11" i="2"/>
  <c r="B14" i="2"/>
  <c r="B12" i="2"/>
  <c r="B17" i="2"/>
  <c r="B8" i="2"/>
  <c r="B13" i="2"/>
  <c r="B21" i="2"/>
  <c r="B5" i="2"/>
  <c r="B19" i="2"/>
  <c r="B52" i="1"/>
  <c r="B51" i="1"/>
  <c r="B48" i="1"/>
  <c r="B47" i="1"/>
  <c r="B46" i="1"/>
  <c r="B45" i="1"/>
  <c r="H35" i="1"/>
  <c r="G35" i="1"/>
  <c r="F35" i="1"/>
  <c r="E35" i="1"/>
  <c r="D35" i="1"/>
  <c r="C35" i="1"/>
  <c r="H32" i="1"/>
  <c r="H33" i="1"/>
  <c r="H34" i="1"/>
  <c r="H31" i="1"/>
  <c r="G32" i="1"/>
  <c r="G33" i="1"/>
  <c r="G34" i="1"/>
  <c r="G31" i="1"/>
  <c r="F32" i="1"/>
  <c r="F33" i="1"/>
  <c r="F34" i="1"/>
  <c r="F31" i="1"/>
  <c r="E32" i="1"/>
  <c r="E33" i="1"/>
  <c r="E34" i="1"/>
  <c r="E31" i="1"/>
  <c r="D32" i="1"/>
  <c r="D33" i="1"/>
  <c r="D34" i="1"/>
  <c r="D31" i="1"/>
  <c r="C32" i="1"/>
  <c r="C33" i="1"/>
  <c r="C34" i="1"/>
  <c r="C31" i="1"/>
  <c r="E28" i="1"/>
  <c r="E27" i="1"/>
  <c r="D27" i="1"/>
  <c r="D28" i="1"/>
  <c r="C28" i="1"/>
  <c r="C27" i="1"/>
  <c r="E24" i="1"/>
  <c r="E23" i="1"/>
  <c r="D24" i="1"/>
  <c r="D23" i="1"/>
  <c r="C24" i="1"/>
  <c r="C23" i="1"/>
  <c r="F18" i="1"/>
  <c r="F19" i="1"/>
  <c r="F20" i="1"/>
  <c r="F17" i="1"/>
  <c r="E18" i="1"/>
  <c r="E19" i="1"/>
  <c r="E20" i="1"/>
  <c r="E17" i="1"/>
  <c r="D18" i="1"/>
  <c r="D19" i="1"/>
  <c r="D20" i="1"/>
  <c r="D17" i="1"/>
  <c r="C18" i="1"/>
  <c r="C19" i="1"/>
  <c r="C20" i="1"/>
  <c r="C17" i="1"/>
  <c r="Q16" i="3" l="1"/>
  <c r="O10" i="3"/>
  <c r="P10" i="3" s="1"/>
  <c r="O12" i="3"/>
  <c r="P12" i="3" s="1"/>
  <c r="O19" i="3"/>
  <c r="P19" i="3" s="1"/>
  <c r="Q18" i="3" s="1"/>
  <c r="O5" i="3"/>
  <c r="P5" i="3" s="1"/>
  <c r="O7" i="3"/>
  <c r="O9" i="3"/>
  <c r="O6" i="3"/>
  <c r="O13" i="3"/>
  <c r="R5" i="2"/>
  <c r="R17" i="2"/>
  <c r="R16" i="2"/>
  <c r="R2" i="2"/>
  <c r="W24" i="2" s="1"/>
  <c r="R15" i="2"/>
  <c r="O14" i="2"/>
  <c r="R21" i="2"/>
  <c r="R12" i="2"/>
  <c r="R7" i="2"/>
  <c r="R6" i="2"/>
  <c r="R10" i="2"/>
  <c r="O19" i="2"/>
  <c r="O13" i="2"/>
  <c r="O18" i="2"/>
  <c r="O9" i="2"/>
  <c r="Q15" i="3" l="1"/>
  <c r="Q11" i="3"/>
  <c r="Q10" i="3"/>
  <c r="P9" i="3"/>
  <c r="Q14" i="3" s="1"/>
  <c r="P13" i="3"/>
  <c r="Q13" i="3"/>
  <c r="P6" i="3"/>
  <c r="Q9" i="3" s="1"/>
  <c r="Q7" i="3"/>
  <c r="P7" i="3"/>
  <c r="Q17" i="3" s="1"/>
  <c r="V24" i="2"/>
  <c r="X24" i="2" s="1"/>
  <c r="W25" i="2" s="1"/>
  <c r="Q8" i="3" l="1"/>
  <c r="Q19" i="3"/>
  <c r="Q12" i="3"/>
  <c r="Q6" i="3"/>
  <c r="Q5" i="3"/>
  <c r="V25" i="2"/>
  <c r="X25" i="2" s="1"/>
</calcChain>
</file>

<file path=xl/sharedStrings.xml><?xml version="1.0" encoding="utf-8"?>
<sst xmlns="http://schemas.openxmlformats.org/spreadsheetml/2006/main" count="417" uniqueCount="232">
  <si>
    <t>chưa định dạng</t>
  </si>
  <si>
    <t>định dạng</t>
  </si>
  <si>
    <t>kiểu định dạng</t>
  </si>
  <si>
    <t>giải thích</t>
  </si>
  <si>
    <t>ghi chú</t>
  </si>
  <si>
    <t xml:space="preserve">                       8489325103</t>
  </si>
  <si>
    <t>A</t>
  </si>
  <si>
    <t>a</t>
  </si>
  <si>
    <t>b</t>
  </si>
  <si>
    <t>a&gt;b</t>
  </si>
  <si>
    <t>a&lt;b</t>
  </si>
  <si>
    <t>a&gt;=b</t>
  </si>
  <si>
    <t>a&lt;=b</t>
  </si>
  <si>
    <t>B</t>
  </si>
  <si>
    <t>A/B</t>
  </si>
  <si>
    <t>A lũy thừa B</t>
  </si>
  <si>
    <t>căn bậc 2 củaA</t>
  </si>
  <si>
    <r>
      <t>A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charset val="163"/>
        <scheme val="minor"/>
      </rPr>
      <t>+B</t>
    </r>
  </si>
  <si>
    <t>(A-B)*A</t>
  </si>
  <si>
    <r>
      <t>((A+B)/(A-B))</t>
    </r>
    <r>
      <rPr>
        <vertAlign val="superscript"/>
        <sz val="11"/>
        <color theme="1"/>
        <rFont val="Calibri"/>
        <family val="2"/>
        <scheme val="minor"/>
      </rPr>
      <t>4</t>
    </r>
  </si>
  <si>
    <t>x</t>
  </si>
  <si>
    <t>y</t>
  </si>
  <si>
    <t>Mod(x,y)</t>
  </si>
  <si>
    <t>Int(x/y)</t>
  </si>
  <si>
    <t>Sqrt(x+y)</t>
  </si>
  <si>
    <t>Round(x/y,2)</t>
  </si>
  <si>
    <t>Power(x,4)</t>
  </si>
  <si>
    <t>Tổng cộng(sum)</t>
  </si>
  <si>
    <t>Product(x,y)</t>
  </si>
  <si>
    <t>some</t>
  </si>
  <si>
    <t>d</t>
  </si>
  <si>
    <t>computer</t>
  </si>
  <si>
    <t>Learn</t>
  </si>
  <si>
    <t>command</t>
  </si>
  <si>
    <t>study</t>
  </si>
  <si>
    <t>compare</t>
  </si>
  <si>
    <t>Gía trị lớn nhất</t>
  </si>
  <si>
    <t>Gía trị nhỏ nhất</t>
  </si>
  <si>
    <t>Gía trị trung bình</t>
  </si>
  <si>
    <t>Tổng các giá trị</t>
  </si>
  <si>
    <t>Số ô chứa giá trị</t>
  </si>
  <si>
    <t>Số ô chứa giá trị chuỗi</t>
  </si>
  <si>
    <t>Số ô chứa giá trị &gt;50</t>
  </si>
  <si>
    <t>Số ô bắt đầu đầu bằng chữ"com"</t>
  </si>
  <si>
    <t>SBD</t>
  </si>
  <si>
    <t>Họ</t>
  </si>
  <si>
    <t>Tên</t>
  </si>
  <si>
    <t>Phái</t>
  </si>
  <si>
    <t>Năm sinh</t>
  </si>
  <si>
    <t>Nơi sinh</t>
  </si>
  <si>
    <t>A250-1</t>
  </si>
  <si>
    <t>Lâm Đức</t>
  </si>
  <si>
    <t>Trí</t>
  </si>
  <si>
    <t>Huế</t>
  </si>
  <si>
    <t>B356-2</t>
  </si>
  <si>
    <t xml:space="preserve">Nguyễn Thị </t>
  </si>
  <si>
    <t>Nghĩa</t>
  </si>
  <si>
    <t>Đà Lạt</t>
  </si>
  <si>
    <t>C452-1</t>
  </si>
  <si>
    <t>Trần Hải</t>
  </si>
  <si>
    <t>Thanh</t>
  </si>
  <si>
    <t>Sông Bé</t>
  </si>
  <si>
    <t>B897-3</t>
  </si>
  <si>
    <t>Nguyễn Thuỵ Ngọc</t>
  </si>
  <si>
    <t>Châu</t>
  </si>
  <si>
    <t>Hà Nội</t>
  </si>
  <si>
    <t>B696-1</t>
  </si>
  <si>
    <t>Phan Thành</t>
  </si>
  <si>
    <t>Long</t>
  </si>
  <si>
    <t>TP. HCM</t>
  </si>
  <si>
    <t>C897-1</t>
  </si>
  <si>
    <t>Võ Trường</t>
  </si>
  <si>
    <t>Hải</t>
  </si>
  <si>
    <t>D456-2</t>
  </si>
  <si>
    <t>Nguyễn Ngọc</t>
  </si>
  <si>
    <t>Bích</t>
  </si>
  <si>
    <t>A123-3</t>
  </si>
  <si>
    <t>Thái Minh</t>
  </si>
  <si>
    <t>Tiền Giang</t>
  </si>
  <si>
    <t>C556-2</t>
  </si>
  <si>
    <t>Lê Thu</t>
  </si>
  <si>
    <t>Trang</t>
  </si>
  <si>
    <t>Nha Trang</t>
  </si>
  <si>
    <t>D658-3</t>
  </si>
  <si>
    <t xml:space="preserve">Trần Chí </t>
  </si>
  <si>
    <t>Đà Nẵng</t>
  </si>
  <si>
    <t>C478-1</t>
  </si>
  <si>
    <t xml:space="preserve">Nguyễn Bích </t>
  </si>
  <si>
    <t>Thủy</t>
  </si>
  <si>
    <t>B285-2</t>
  </si>
  <si>
    <t>Lê Ngọc</t>
  </si>
  <si>
    <t>Quỳnh</t>
  </si>
  <si>
    <t>Vũng Tàu</t>
  </si>
  <si>
    <t>A396-1</t>
  </si>
  <si>
    <t>Ngô Thanh</t>
  </si>
  <si>
    <t>Tâm</t>
  </si>
  <si>
    <t>B963-2</t>
  </si>
  <si>
    <t>Trần Như</t>
  </si>
  <si>
    <t>D987-3</t>
  </si>
  <si>
    <t>Nguyễn Thị Bích</t>
  </si>
  <si>
    <t>Minh Hải</t>
  </si>
  <si>
    <t>B465-3</t>
  </si>
  <si>
    <t xml:space="preserve">Trần Văn </t>
  </si>
  <si>
    <t>Linh</t>
  </si>
  <si>
    <t>C324-1</t>
  </si>
  <si>
    <t>Vũ Ngọc</t>
  </si>
  <si>
    <t>Sơn</t>
  </si>
  <si>
    <t>A782-2</t>
  </si>
  <si>
    <t>Phan Thái</t>
  </si>
  <si>
    <t>Trung</t>
  </si>
  <si>
    <t>A659-2</t>
  </si>
  <si>
    <t xml:space="preserve">Nguyễn Mạnh </t>
  </si>
  <si>
    <t>Dũng</t>
  </si>
  <si>
    <t>A333-1</t>
  </si>
  <si>
    <t xml:space="preserve">Lân Ngọc </t>
  </si>
  <si>
    <t>Kiên Giang</t>
  </si>
  <si>
    <t>Toán</t>
  </si>
  <si>
    <t xml:space="preserve">Sinh </t>
  </si>
  <si>
    <t>Lý</t>
  </si>
  <si>
    <t>Hóa</t>
  </si>
  <si>
    <t>Tổng điểm</t>
  </si>
  <si>
    <t>Ưu tiên</t>
  </si>
  <si>
    <t>ĐKQ</t>
  </si>
  <si>
    <t>Ngành thi</t>
  </si>
  <si>
    <t>Điểm chuẩn</t>
  </si>
  <si>
    <t>Kết quả</t>
  </si>
  <si>
    <t>KQ1</t>
  </si>
  <si>
    <t>KQ2</t>
  </si>
  <si>
    <t>STT</t>
  </si>
  <si>
    <t>KẾT QUẢ</t>
  </si>
  <si>
    <t>ĐẠT</t>
  </si>
  <si>
    <t>KHÔNG ĐẠT</t>
  </si>
  <si>
    <t>TỔNG CỘNG</t>
  </si>
  <si>
    <t>TỔNG SỐ HỌC SINH</t>
  </si>
  <si>
    <t>TỶ LỆ(%)</t>
  </si>
  <si>
    <t>Mã NV</t>
  </si>
  <si>
    <t>Ngày vào làm việc</t>
  </si>
  <si>
    <t>Ngày công</t>
  </si>
  <si>
    <t>Bậc lương</t>
  </si>
  <si>
    <t>Phòng ban</t>
  </si>
  <si>
    <t>Thâm niên</t>
  </si>
  <si>
    <t>Phụ cấp thâm niên</t>
  </si>
  <si>
    <t>5/20/1998</t>
  </si>
  <si>
    <t>8/25/1998</t>
  </si>
  <si>
    <t>7/30/1994</t>
  </si>
  <si>
    <t>9/15/1995</t>
  </si>
  <si>
    <t>6/26/1998</t>
  </si>
  <si>
    <t>12/25/1997</t>
  </si>
  <si>
    <t>6/22/1996</t>
  </si>
  <si>
    <t>6/16/1994</t>
  </si>
  <si>
    <t>10/14/1995</t>
  </si>
  <si>
    <t>11/19/1997</t>
  </si>
  <si>
    <t>Năm hiện tại</t>
  </si>
  <si>
    <t>Lương</t>
  </si>
  <si>
    <t>Tạm ứng</t>
  </si>
  <si>
    <t>Thực lãnh</t>
  </si>
  <si>
    <t>Ngày công qui định</t>
  </si>
  <si>
    <t>Kỹ thuật</t>
  </si>
  <si>
    <t>Phòng kỹ thuật</t>
  </si>
  <si>
    <t>Họ Lót</t>
  </si>
  <si>
    <t xml:space="preserve">Số Báo Danh </t>
  </si>
  <si>
    <t>Hoá</t>
  </si>
  <si>
    <t>Tổng Điểm</t>
  </si>
  <si>
    <t>Kết Quả</t>
  </si>
  <si>
    <t>Trần Đình</t>
  </si>
  <si>
    <t>Phú</t>
  </si>
  <si>
    <t>B106</t>
  </si>
  <si>
    <t>Văn Viết</t>
  </si>
  <si>
    <t>Tạo</t>
  </si>
  <si>
    <t>A256</t>
  </si>
  <si>
    <t>Võ Vinh</t>
  </si>
  <si>
    <t>Quang</t>
  </si>
  <si>
    <t>C165</t>
  </si>
  <si>
    <t>Ngô Ngọc</t>
  </si>
  <si>
    <t>Định</t>
  </si>
  <si>
    <t>A065</t>
  </si>
  <si>
    <t>Lê Thị Ngọc</t>
  </si>
  <si>
    <t>Hân</t>
  </si>
  <si>
    <t>C123</t>
  </si>
  <si>
    <t>Huỳnh Văn</t>
  </si>
  <si>
    <t>Xê</t>
  </si>
  <si>
    <t>A300</t>
  </si>
  <si>
    <t>Lý Ngọc</t>
  </si>
  <si>
    <t>Thịnh</t>
  </si>
  <si>
    <t>B231</t>
  </si>
  <si>
    <t>Lê Quang</t>
  </si>
  <si>
    <t>Lợi</t>
  </si>
  <si>
    <t>A115</t>
  </si>
  <si>
    <t>Nguyễn Xuân</t>
  </si>
  <si>
    <t>Ái</t>
  </si>
  <si>
    <t>A012</t>
  </si>
  <si>
    <t>Hồ Thị</t>
  </si>
  <si>
    <t>Cúc</t>
  </si>
  <si>
    <t>B067</t>
  </si>
  <si>
    <t>Đinh Xuân</t>
  </si>
  <si>
    <t>Thành</t>
  </si>
  <si>
    <t>C209</t>
  </si>
  <si>
    <t>Đậu</t>
  </si>
  <si>
    <t>Bảng thống kê</t>
  </si>
  <si>
    <t>số thí sinh đậu</t>
  </si>
  <si>
    <t>số thí sinh hỏng</t>
  </si>
  <si>
    <t>T/M Hội đồng tuyển sinh</t>
  </si>
  <si>
    <t>Phan Trung Hiếu</t>
  </si>
  <si>
    <t>Toán,Lý,Hóa&gt;5</t>
  </si>
  <si>
    <t>Currency</t>
  </si>
  <si>
    <t>Percentage</t>
  </si>
  <si>
    <t>Short Date</t>
  </si>
  <si>
    <t>Long Date</t>
  </si>
  <si>
    <t>Accounting</t>
  </si>
  <si>
    <t>Phone Number</t>
  </si>
  <si>
    <t>Time</t>
  </si>
  <si>
    <t>Fraction</t>
  </si>
  <si>
    <t>Scientific</t>
  </si>
  <si>
    <t xml:space="preserve">Tiền tệ </t>
  </si>
  <si>
    <t>Phần trăm</t>
  </si>
  <si>
    <t>Dạng ngày ngắn gọn</t>
  </si>
  <si>
    <t xml:space="preserve">Dạng ngày chi tiết </t>
  </si>
  <si>
    <t>Kế toán</t>
  </si>
  <si>
    <t>Số điện thoại</t>
  </si>
  <si>
    <t>Thời gian</t>
  </si>
  <si>
    <t xml:space="preserve">Phân số </t>
  </si>
  <si>
    <t>Khoa học</t>
  </si>
  <si>
    <t>#,##0.00[$đồng]</t>
  </si>
  <si>
    <t>[$VNĐ] #,##0,0</t>
  </si>
  <si>
    <t>m/d/yyyy</t>
  </si>
  <si>
    <t>dd/mm/yyyy</t>
  </si>
  <si>
    <t>[S-F800]dddd,mmmm dd,yyyy</t>
  </si>
  <si>
    <t>_(*#,##0.00_); _(*#,##0.00_);_(*"-"??_);_(@)</t>
  </si>
  <si>
    <t>###-###-####</t>
  </si>
  <si>
    <t>h:mm:ss AM/PM</t>
  </si>
  <si>
    <t>#?/?</t>
  </si>
  <si>
    <t>#??/??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</si>
</sst>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B1mmm\-yy"/>
    <numFmt numFmtId="165" formatCode="#,##0.00\ [$đồng]"/>
    <numFmt numFmtId="166" formatCode="[$VNĐ]\ #,##0"/>
    <numFmt numFmtId="167" formatCode="[$-1010000]d/m/yyyy;@"/>
    <numFmt numFmtId="168" formatCode="[$-1010000]m/d/yyyy;@"/>
    <numFmt numFmtId="169" formatCode="[$-1010409]d\ mmmm\ yyyy;@"/>
    <numFmt numFmtId="170" formatCode="_-* #,##0.00\ _₫_-;\-* #,##0.00\ _₫_-;_-* &quot;-&quot;??\ _₫_-;_-@_-"/>
    <numFmt numFmtId="171" formatCode="[$-1000000]00000\-0000"/>
    <numFmt numFmtId="172" formatCode="[$-1000409]h:mm:ss\ AM/PM;@"/>
    <numFmt numFmtId="173" formatCode="00"/>
  </numFmts>
  <fonts count="1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0"/>
      <name val="Tahoma"/>
      <family val="2"/>
    </font>
    <font>
      <b/>
      <sz val="11"/>
      <color theme="1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Time s New Roman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auto="1"/>
      </left>
      <right style="thin">
        <color auto="1"/>
      </right>
      <top/>
      <bottom style="thin">
        <color rgb="FF7030A0"/>
      </bottom>
      <diagonal/>
    </border>
    <border>
      <left style="thin">
        <color auto="1"/>
      </left>
      <right style="thin">
        <color rgb="FF7030A0"/>
      </right>
      <top/>
      <bottom style="thin">
        <color rgb="FF7030A0"/>
      </bottom>
      <diagonal/>
    </border>
    <border>
      <left style="thin">
        <color rgb="FF7030A0"/>
      </left>
      <right style="thin">
        <color auto="1"/>
      </right>
      <top/>
      <bottom style="thin">
        <color rgb="FF7030A0"/>
      </bottom>
      <diagonal/>
    </border>
    <border>
      <left style="thin">
        <color rgb="FF7030A0"/>
      </left>
      <right/>
      <top style="thin">
        <color rgb="FF7030A0"/>
      </top>
      <bottom style="thin">
        <color rgb="FF7030A0"/>
      </bottom>
      <diagonal/>
    </border>
    <border>
      <left style="thin">
        <color rgb="FF7030A0"/>
      </left>
      <right style="thin">
        <color auto="1"/>
      </right>
      <top style="thin">
        <color rgb="FF7030A0"/>
      </top>
      <bottom style="thin">
        <color rgb="FF7030A0"/>
      </bottom>
      <diagonal/>
    </border>
    <border>
      <left style="thin">
        <color auto="1"/>
      </left>
      <right style="thin">
        <color auto="1"/>
      </right>
      <top style="thin">
        <color rgb="FF7030A0"/>
      </top>
      <bottom style="thin">
        <color rgb="FF7030A0"/>
      </bottom>
      <diagonal/>
    </border>
    <border>
      <left style="thin">
        <color auto="1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/>
      <right style="thin">
        <color auto="1"/>
      </right>
      <top/>
      <bottom style="thin">
        <color rgb="FF7030A0"/>
      </bottom>
      <diagonal/>
    </border>
    <border>
      <left/>
      <right/>
      <top style="thin">
        <color rgb="FF7030A0"/>
      </top>
      <bottom style="thin">
        <color rgb="FF7030A0"/>
      </bottom>
      <diagonal/>
    </border>
    <border>
      <left style="thin">
        <color auto="1"/>
      </left>
      <right/>
      <top/>
      <bottom style="thin">
        <color rgb="FF7030A0"/>
      </bottom>
      <diagonal/>
    </border>
    <border>
      <left style="thin">
        <color auto="1"/>
      </left>
      <right style="thin">
        <color rgb="FF7030A0"/>
      </right>
      <top/>
      <bottom/>
      <diagonal/>
    </border>
    <border>
      <left/>
      <right style="thin">
        <color rgb="FF7030A0"/>
      </right>
      <top style="thin">
        <color rgb="FF7030A0"/>
      </top>
      <bottom/>
      <diagonal/>
    </border>
    <border>
      <left/>
      <right style="thin">
        <color rgb="FF7030A0"/>
      </right>
      <top style="thin">
        <color rgb="FF7030A0"/>
      </top>
      <bottom style="thin">
        <color rgb="FF7030A0"/>
      </bottom>
      <diagonal/>
    </border>
    <border>
      <left/>
      <right style="thin">
        <color rgb="FF7030A0"/>
      </right>
      <top/>
      <bottom/>
      <diagonal/>
    </border>
    <border>
      <left/>
      <right style="thin">
        <color rgb="FF7030A0"/>
      </right>
      <top/>
      <bottom style="thin">
        <color rgb="FF7030A0"/>
      </bottom>
      <diagonal/>
    </border>
    <border>
      <left style="thin">
        <color rgb="FF7030A0"/>
      </left>
      <right style="thin">
        <color rgb="FF7030A0"/>
      </right>
      <top/>
      <bottom style="thin">
        <color rgb="FF7030A0"/>
      </bottom>
      <diagonal/>
    </border>
    <border>
      <left style="thin">
        <color rgb="FF7030A0"/>
      </left>
      <right style="thin">
        <color auto="1"/>
      </right>
      <top style="thin">
        <color rgb="FF7030A0"/>
      </top>
      <bottom/>
      <diagonal/>
    </border>
    <border>
      <left style="thin">
        <color rgb="FF7030A0"/>
      </left>
      <right style="thin">
        <color rgb="FF7030A0"/>
      </right>
      <top style="thin">
        <color rgb="FF7030A0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/>
  </cellStyleXfs>
  <cellXfs count="76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1" fontId="0" fillId="0" borderId="1" xfId="0" applyNumberFormat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0" borderId="16" xfId="0" applyBorder="1"/>
    <xf numFmtId="0" fontId="0" fillId="3" borderId="19" xfId="0" applyFill="1" applyBorder="1"/>
    <xf numFmtId="0" fontId="0" fillId="3" borderId="8" xfId="0" applyFill="1" applyBorder="1"/>
    <xf numFmtId="0" fontId="0" fillId="3" borderId="9" xfId="0" applyFill="1" applyBorder="1"/>
    <xf numFmtId="0" fontId="0" fillId="3" borderId="14" xfId="0" applyFill="1" applyBorder="1"/>
    <xf numFmtId="0" fontId="0" fillId="3" borderId="2" xfId="0" applyFill="1" applyBorder="1"/>
    <xf numFmtId="0" fontId="0" fillId="3" borderId="6" xfId="0" applyFill="1" applyBorder="1"/>
    <xf numFmtId="0" fontId="0" fillId="3" borderId="15" xfId="0" applyFill="1" applyBorder="1"/>
    <xf numFmtId="0" fontId="0" fillId="3" borderId="7" xfId="0" applyFill="1" applyBorder="1"/>
    <xf numFmtId="0" fontId="0" fillId="3" borderId="4" xfId="0" applyFill="1" applyBorder="1"/>
    <xf numFmtId="0" fontId="0" fillId="3" borderId="17" xfId="0" applyFill="1" applyBorder="1"/>
    <xf numFmtId="0" fontId="0" fillId="3" borderId="10" xfId="0" applyFill="1" applyBorder="1"/>
    <xf numFmtId="0" fontId="0" fillId="3" borderId="11" xfId="0" applyFill="1" applyBorder="1"/>
    <xf numFmtId="0" fontId="0" fillId="3" borderId="5" xfId="0" applyFill="1" applyBorder="1"/>
    <xf numFmtId="0" fontId="0" fillId="3" borderId="3" xfId="0" applyFill="1" applyBorder="1"/>
    <xf numFmtId="0" fontId="0" fillId="3" borderId="12" xfId="0" applyFill="1" applyBorder="1"/>
    <xf numFmtId="0" fontId="0" fillId="3" borderId="13" xfId="0" applyFill="1" applyBorder="1"/>
    <xf numFmtId="0" fontId="0" fillId="3" borderId="16" xfId="0" applyFill="1" applyBorder="1"/>
    <xf numFmtId="0" fontId="0" fillId="3" borderId="20" xfId="0" applyFill="1" applyBorder="1"/>
    <xf numFmtId="0" fontId="0" fillId="3" borderId="18" xfId="0" applyFill="1" applyBorder="1"/>
    <xf numFmtId="0" fontId="6" fillId="0" borderId="1" xfId="0" applyFont="1" applyBorder="1"/>
    <xf numFmtId="173" fontId="2" fillId="0" borderId="1" xfId="0" applyNumberFormat="1" applyFont="1" applyBorder="1"/>
    <xf numFmtId="0" fontId="7" fillId="0" borderId="1" xfId="2" applyFont="1" applyBorder="1"/>
    <xf numFmtId="0" fontId="7" fillId="0" borderId="1" xfId="2" applyFont="1" applyBorder="1" applyAlignment="1">
      <alignment horizontal="right"/>
    </xf>
    <xf numFmtId="0" fontId="2" fillId="0" borderId="1" xfId="0" applyFont="1" applyBorder="1"/>
    <xf numFmtId="9" fontId="2" fillId="0" borderId="1" xfId="1" applyFont="1" applyBorder="1"/>
    <xf numFmtId="9" fontId="2" fillId="0" borderId="1" xfId="0" applyNumberFormat="1" applyFont="1" applyBorder="1"/>
    <xf numFmtId="0" fontId="5" fillId="0" borderId="0" xfId="2" applyFont="1"/>
    <xf numFmtId="0" fontId="5" fillId="0" borderId="0" xfId="2" applyFont="1" applyAlignment="1">
      <alignment horizontal="right"/>
    </xf>
    <xf numFmtId="167" fontId="2" fillId="0" borderId="1" xfId="0" applyNumberFormat="1" applyFont="1" applyBorder="1" applyAlignment="1">
      <alignment horizontal="right"/>
    </xf>
    <xf numFmtId="173" fontId="0" fillId="0" borderId="1" xfId="0" applyNumberFormat="1" applyBorder="1"/>
    <xf numFmtId="167" fontId="8" fillId="0" borderId="1" xfId="2" applyNumberFormat="1" applyFont="1" applyBorder="1" applyAlignment="1">
      <alignment horizontal="right"/>
    </xf>
    <xf numFmtId="0" fontId="8" fillId="2" borderId="1" xfId="2" applyFont="1" applyFill="1" applyBorder="1"/>
    <xf numFmtId="14" fontId="8" fillId="2" borderId="1" xfId="2" applyNumberFormat="1" applyFont="1" applyFill="1" applyBorder="1"/>
    <xf numFmtId="0" fontId="7" fillId="2" borderId="1" xfId="2" applyFont="1" applyFill="1" applyBorder="1" applyAlignment="1">
      <alignment horizontal="right"/>
    </xf>
    <xf numFmtId="0" fontId="7" fillId="2" borderId="1" xfId="2" applyFont="1" applyFill="1" applyBorder="1"/>
    <xf numFmtId="0" fontId="0" fillId="3" borderId="1" xfId="0" applyFill="1" applyBorder="1" applyAlignment="1">
      <alignment horizontal="center"/>
    </xf>
    <xf numFmtId="173" fontId="10" fillId="0" borderId="1" xfId="0" applyNumberFormat="1" applyFont="1" applyBorder="1"/>
    <xf numFmtId="0" fontId="10" fillId="0" borderId="1" xfId="0" applyFont="1" applyBorder="1"/>
    <xf numFmtId="0" fontId="9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7" fillId="2" borderId="1" xfId="0" applyFont="1" applyFill="1" applyBorder="1"/>
    <xf numFmtId="0" fontId="2" fillId="0" borderId="0" xfId="0" applyFont="1"/>
    <xf numFmtId="0" fontId="7" fillId="0" borderId="1" xfId="0" applyFont="1" applyFill="1" applyBorder="1"/>
    <xf numFmtId="0" fontId="0" fillId="2" borderId="0" xfId="0" applyFill="1"/>
    <xf numFmtId="0" fontId="10" fillId="0" borderId="0" xfId="0" applyFont="1"/>
    <xf numFmtId="0" fontId="10" fillId="2" borderId="0" xfId="0" applyFont="1" applyFill="1"/>
    <xf numFmtId="165" fontId="2" fillId="0" borderId="1" xfId="0" applyNumberFormat="1" applyFont="1" applyBorder="1"/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/>
    <xf numFmtId="166" fontId="2" fillId="0" borderId="1" xfId="0" applyNumberFormat="1" applyFont="1" applyBorder="1"/>
    <xf numFmtId="10" fontId="2" fillId="0" borderId="1" xfId="0" applyNumberFormat="1" applyFont="1" applyBorder="1"/>
    <xf numFmtId="10" fontId="2" fillId="0" borderId="1" xfId="0" applyNumberFormat="1" applyFont="1" applyBorder="1" applyAlignment="1">
      <alignment horizontal="left" vertical="top"/>
    </xf>
    <xf numFmtId="164" fontId="2" fillId="0" borderId="1" xfId="0" applyNumberFormat="1" applyFont="1" applyBorder="1"/>
    <xf numFmtId="168" fontId="2" fillId="0" borderId="1" xfId="0" applyNumberFormat="1" applyFont="1" applyBorder="1"/>
    <xf numFmtId="167" fontId="2" fillId="0" borderId="1" xfId="0" applyNumberFormat="1" applyFont="1" applyBorder="1"/>
    <xf numFmtId="169" fontId="2" fillId="0" borderId="1" xfId="0" applyNumberFormat="1" applyFont="1" applyBorder="1"/>
    <xf numFmtId="170" fontId="2" fillId="0" borderId="1" xfId="0" applyNumberFormat="1" applyFont="1" applyBorder="1" applyAlignment="1">
      <alignment horizontal="right"/>
    </xf>
    <xf numFmtId="170" fontId="2" fillId="0" borderId="1" xfId="0" applyNumberFormat="1" applyFont="1" applyBorder="1" applyAlignment="1">
      <alignment vertical="center"/>
    </xf>
    <xf numFmtId="49" fontId="2" fillId="0" borderId="1" xfId="0" applyNumberFormat="1" applyFont="1" applyBorder="1" applyAlignment="1">
      <alignment horizontal="right"/>
    </xf>
    <xf numFmtId="171" fontId="2" fillId="0" borderId="1" xfId="0" applyNumberFormat="1" applyFont="1" applyBorder="1"/>
    <xf numFmtId="21" fontId="2" fillId="0" borderId="1" xfId="0" applyNumberFormat="1" applyFont="1" applyBorder="1"/>
    <xf numFmtId="172" fontId="2" fillId="0" borderId="1" xfId="0" applyNumberFormat="1" applyFont="1" applyBorder="1"/>
    <xf numFmtId="12" fontId="2" fillId="0" borderId="1" xfId="0" applyNumberFormat="1" applyFont="1" applyBorder="1"/>
    <xf numFmtId="13" fontId="2" fillId="0" borderId="1" xfId="0" applyNumberFormat="1" applyFont="1" applyBorder="1"/>
    <xf numFmtId="11" fontId="2" fillId="0" borderId="1" xfId="0" applyNumberFormat="1" applyFont="1" applyBorder="1"/>
    <xf numFmtId="11" fontId="2" fillId="0" borderId="1" xfId="0" applyNumberFormat="1" applyFont="1" applyBorder="1" applyAlignment="1">
      <alignment horizontal="left"/>
    </xf>
  </cellXfs>
  <cellStyles count="3">
    <cellStyle name="Normal" xfId="0" builtinId="0"/>
    <cellStyle name="Normal 2" xfId="2" xr:uid="{5D77A04C-70AA-442E-9A3A-764672346644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'BT2'!$U$24</c:f>
              <c:strCache>
                <c:ptCount val="1"/>
                <c:pt idx="0">
                  <c:v>TỔNG SỐ HỌC SINH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3B2-4BA5-9848-F7660C983FF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3B2-4BA5-9848-F7660C983FF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3B2-4BA5-9848-F7660C983FFA}"/>
              </c:ext>
            </c:extLst>
          </c:dPt>
          <c:cat>
            <c:strRef>
              <c:f>'BT2'!$V$23:$X$23</c:f>
              <c:strCache>
                <c:ptCount val="3"/>
                <c:pt idx="0">
                  <c:v>ĐẠT</c:v>
                </c:pt>
                <c:pt idx="1">
                  <c:v>KHÔNG ĐẠT</c:v>
                </c:pt>
                <c:pt idx="2">
                  <c:v>TỔNG CỘNG</c:v>
                </c:pt>
              </c:strCache>
            </c:strRef>
          </c:cat>
          <c:val>
            <c:numRef>
              <c:f>'BT2'!$V$24:$X$24</c:f>
              <c:numCache>
                <c:formatCode>General</c:formatCode>
                <c:ptCount val="3"/>
                <c:pt idx="0">
                  <c:v>10</c:v>
                </c:pt>
                <c:pt idx="1">
                  <c:v>10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1A-4815-BC73-A4B6A850949C}"/>
            </c:ext>
          </c:extLst>
        </c:ser>
        <c:ser>
          <c:idx val="1"/>
          <c:order val="1"/>
          <c:tx>
            <c:strRef>
              <c:f>'BT2'!$U$25</c:f>
              <c:strCache>
                <c:ptCount val="1"/>
                <c:pt idx="0">
                  <c:v>TỶ LỆ(%)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3B2-4BA5-9848-F7660C983FF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3B2-4BA5-9848-F7660C983FF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3B2-4BA5-9848-F7660C983FFA}"/>
              </c:ext>
            </c:extLst>
          </c:dPt>
          <c:cat>
            <c:strRef>
              <c:f>'BT2'!$V$23:$X$23</c:f>
              <c:strCache>
                <c:ptCount val="3"/>
                <c:pt idx="0">
                  <c:v>ĐẠT</c:v>
                </c:pt>
                <c:pt idx="1">
                  <c:v>KHÔNG ĐẠT</c:v>
                </c:pt>
                <c:pt idx="2">
                  <c:v>TỔNG CỘNG</c:v>
                </c:pt>
              </c:strCache>
            </c:strRef>
          </c:cat>
          <c:val>
            <c:numRef>
              <c:f>'BT2'!$V$25:$X$25</c:f>
              <c:numCache>
                <c:formatCode>0%</c:formatCode>
                <c:ptCount val="3"/>
                <c:pt idx="0">
                  <c:v>0.5</c:v>
                </c:pt>
                <c:pt idx="1">
                  <c:v>0.5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1A-4815-BC73-A4B6A85094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4469816272965875E-2"/>
          <c:y val="0.19486111111111112"/>
          <c:w val="0.9155301837270341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'BT4'!$C$15:$C$16</c:f>
              <c:strCache>
                <c:ptCount val="2"/>
                <c:pt idx="0">
                  <c:v>số thí sinh đậu</c:v>
                </c:pt>
                <c:pt idx="1">
                  <c:v>số thí sinh hỏng</c:v>
                </c:pt>
              </c:strCache>
            </c:strRef>
          </c:cat>
          <c:val>
            <c:numRef>
              <c:f>'BT4'!$D$15:$D$16</c:f>
              <c:numCache>
                <c:formatCode>General</c:formatCode>
                <c:ptCount val="2"/>
                <c:pt idx="0">
                  <c:v>7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C0-4DBF-82DF-522D3493D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2057248"/>
        <c:axId val="1911239488"/>
      </c:barChart>
      <c:catAx>
        <c:axId val="1912057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239488"/>
        <c:crosses val="autoZero"/>
        <c:auto val="1"/>
        <c:lblAlgn val="ctr"/>
        <c:lblOffset val="100"/>
        <c:noMultiLvlLbl val="0"/>
      </c:catAx>
      <c:valAx>
        <c:axId val="191123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2057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596347</xdr:colOff>
      <xdr:row>25</xdr:row>
      <xdr:rowOff>57978</xdr:rowOff>
    </xdr:from>
    <xdr:to>
      <xdr:col>22</xdr:col>
      <xdr:colOff>960782</xdr:colOff>
      <xdr:row>33</xdr:row>
      <xdr:rowOff>129208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750D17-3C45-D575-6721-E188BB4569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472440</xdr:colOff>
      <xdr:row>25</xdr:row>
      <xdr:rowOff>19050</xdr:rowOff>
    </xdr:from>
    <xdr:to>
      <xdr:col>7</xdr:col>
      <xdr:colOff>800100</xdr:colOff>
      <xdr:row>40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61B96D-B6BD-CB36-EE8B-26275955DB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38F8F-513C-4C09-B3DB-151708938E0C}">
  <dimension ref="A1:H53"/>
  <sheetViews>
    <sheetView topLeftCell="A22" zoomScale="85" zoomScaleNormal="85" workbookViewId="0">
      <selection activeCell="B51" sqref="B51"/>
    </sheetView>
  </sheetViews>
  <sheetFormatPr defaultRowHeight="14.4"/>
  <cols>
    <col min="1" max="1" width="30.5546875" customWidth="1"/>
    <col min="2" max="2" width="18.109375" customWidth="1"/>
    <col min="3" max="3" width="15.88671875" customWidth="1"/>
    <col min="4" max="4" width="18.6640625" customWidth="1"/>
    <col min="5" max="5" width="39.21875" customWidth="1"/>
    <col min="6" max="6" width="13" customWidth="1"/>
    <col min="7" max="7" width="10.6640625" bestFit="1" customWidth="1"/>
    <col min="8" max="8" width="11.109375" bestFit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6">
      <c r="A2" s="31">
        <v>54666</v>
      </c>
      <c r="B2" s="56">
        <v>54666</v>
      </c>
      <c r="C2" s="57" t="s">
        <v>204</v>
      </c>
      <c r="D2" s="57" t="s">
        <v>213</v>
      </c>
      <c r="E2" s="31" t="s">
        <v>222</v>
      </c>
    </row>
    <row r="3" spans="1:6">
      <c r="A3" s="58">
        <v>54666</v>
      </c>
      <c r="B3" s="59">
        <v>54666</v>
      </c>
      <c r="C3" s="57" t="s">
        <v>204</v>
      </c>
      <c r="D3" s="57" t="s">
        <v>213</v>
      </c>
      <c r="E3" s="31" t="s">
        <v>223</v>
      </c>
    </row>
    <row r="4" spans="1:6">
      <c r="A4" s="31">
        <v>0.45660000000000001</v>
      </c>
      <c r="B4" s="60">
        <v>0.45660000000000001</v>
      </c>
      <c r="C4" s="57" t="s">
        <v>205</v>
      </c>
      <c r="D4" s="57" t="s">
        <v>214</v>
      </c>
      <c r="E4" s="61">
        <v>0</v>
      </c>
    </row>
    <row r="5" spans="1:6">
      <c r="A5" s="62">
        <v>39203</v>
      </c>
      <c r="B5" s="63">
        <v>39212</v>
      </c>
      <c r="C5" s="57" t="s">
        <v>206</v>
      </c>
      <c r="D5" s="57" t="s">
        <v>215</v>
      </c>
      <c r="E5" s="31" t="s">
        <v>224</v>
      </c>
    </row>
    <row r="6" spans="1:6">
      <c r="A6" s="62">
        <v>39203</v>
      </c>
      <c r="B6" s="64">
        <v>39212</v>
      </c>
      <c r="C6" s="57" t="s">
        <v>206</v>
      </c>
      <c r="D6" s="57" t="s">
        <v>215</v>
      </c>
      <c r="E6" s="31" t="s">
        <v>225</v>
      </c>
    </row>
    <row r="7" spans="1:6">
      <c r="A7" s="62">
        <v>39203</v>
      </c>
      <c r="B7" s="65">
        <v>39204</v>
      </c>
      <c r="C7" s="57" t="s">
        <v>207</v>
      </c>
      <c r="D7" s="57" t="s">
        <v>216</v>
      </c>
      <c r="E7" s="31" t="s">
        <v>226</v>
      </c>
    </row>
    <row r="8" spans="1:6">
      <c r="A8" s="66">
        <v>646564622</v>
      </c>
      <c r="B8" s="67">
        <v>646564622</v>
      </c>
      <c r="C8" s="57" t="s">
        <v>208</v>
      </c>
      <c r="D8" s="57" t="s">
        <v>217</v>
      </c>
      <c r="E8" s="31" t="s">
        <v>227</v>
      </c>
    </row>
    <row r="9" spans="1:6">
      <c r="A9" s="68" t="s">
        <v>5</v>
      </c>
      <c r="B9" s="69">
        <v>8489325103</v>
      </c>
      <c r="C9" s="57" t="s">
        <v>209</v>
      </c>
      <c r="D9" s="57" t="s">
        <v>218</v>
      </c>
      <c r="E9" s="31" t="s">
        <v>228</v>
      </c>
    </row>
    <row r="10" spans="1:6">
      <c r="A10" s="70">
        <v>0.66500000000000004</v>
      </c>
      <c r="B10" s="71">
        <v>0.66500000000000004</v>
      </c>
      <c r="C10" s="57" t="s">
        <v>210</v>
      </c>
      <c r="D10" s="57" t="s">
        <v>219</v>
      </c>
      <c r="E10" s="31" t="s">
        <v>229</v>
      </c>
    </row>
    <row r="11" spans="1:6">
      <c r="A11" s="31">
        <v>0.25</v>
      </c>
      <c r="B11" s="72">
        <v>0.25</v>
      </c>
      <c r="C11" s="57" t="s">
        <v>211</v>
      </c>
      <c r="D11" s="57" t="s">
        <v>220</v>
      </c>
      <c r="E11" s="31" t="s">
        <v>230</v>
      </c>
    </row>
    <row r="12" spans="1:6">
      <c r="A12" s="31">
        <v>2.5000000000000001E-2</v>
      </c>
      <c r="B12" s="73">
        <v>2.5000000000000001E-2</v>
      </c>
      <c r="C12" s="57" t="s">
        <v>211</v>
      </c>
      <c r="D12" s="57" t="s">
        <v>220</v>
      </c>
      <c r="E12" s="31" t="s">
        <v>231</v>
      </c>
    </row>
    <row r="13" spans="1:6">
      <c r="A13" s="31">
        <v>646564622</v>
      </c>
      <c r="B13" s="74">
        <v>646564622</v>
      </c>
      <c r="C13" s="57" t="s">
        <v>212</v>
      </c>
      <c r="D13" s="57" t="s">
        <v>221</v>
      </c>
      <c r="E13" s="75">
        <v>0</v>
      </c>
    </row>
    <row r="16" spans="1:6">
      <c r="A16" s="4" t="s">
        <v>7</v>
      </c>
      <c r="B16" s="4" t="s">
        <v>8</v>
      </c>
      <c r="C16" s="4" t="s">
        <v>9</v>
      </c>
      <c r="D16" s="4" t="s">
        <v>10</v>
      </c>
      <c r="E16" s="4" t="s">
        <v>11</v>
      </c>
      <c r="F16" s="4" t="s">
        <v>12</v>
      </c>
    </row>
    <row r="17" spans="1:8">
      <c r="A17" s="4">
        <v>47</v>
      </c>
      <c r="B17" s="4">
        <v>23</v>
      </c>
      <c r="C17" s="5" t="b">
        <f>A17&gt;B17</f>
        <v>1</v>
      </c>
      <c r="D17" s="5" t="b">
        <f>A17&lt;B17</f>
        <v>0</v>
      </c>
      <c r="E17" s="5" t="b">
        <f>A17&gt;=B17</f>
        <v>1</v>
      </c>
      <c r="F17" s="5" t="b">
        <f>A17&lt;=B17</f>
        <v>0</v>
      </c>
    </row>
    <row r="18" spans="1:8">
      <c r="A18" s="4">
        <v>58</v>
      </c>
      <c r="B18" s="4">
        <v>58</v>
      </c>
      <c r="C18" s="5" t="b">
        <f t="shared" ref="C18:C20" si="0">A18&gt;B18</f>
        <v>0</v>
      </c>
      <c r="D18" s="5" t="b">
        <f t="shared" ref="D18:D20" si="1">A18&lt;B18</f>
        <v>0</v>
      </c>
      <c r="E18" s="5" t="b">
        <f t="shared" ref="E18:E20" si="2">A18&gt;=B18</f>
        <v>1</v>
      </c>
      <c r="F18" s="5" t="b">
        <f t="shared" ref="F18:F20" si="3">A18&lt;=B18</f>
        <v>1</v>
      </c>
    </row>
    <row r="19" spans="1:8">
      <c r="A19" s="4">
        <v>12</v>
      </c>
      <c r="B19" s="4">
        <v>49</v>
      </c>
      <c r="C19" s="5" t="b">
        <f t="shared" si="0"/>
        <v>0</v>
      </c>
      <c r="D19" s="5" t="b">
        <f t="shared" si="1"/>
        <v>1</v>
      </c>
      <c r="E19" s="5" t="b">
        <f t="shared" si="2"/>
        <v>0</v>
      </c>
      <c r="F19" s="5" t="b">
        <f t="shared" si="3"/>
        <v>1</v>
      </c>
    </row>
    <row r="20" spans="1:8">
      <c r="A20" s="4">
        <v>35</v>
      </c>
      <c r="B20" s="4">
        <v>75</v>
      </c>
      <c r="C20" s="5" t="b">
        <f t="shared" si="0"/>
        <v>0</v>
      </c>
      <c r="D20" s="5" t="b">
        <f t="shared" si="1"/>
        <v>1</v>
      </c>
      <c r="E20" s="5" t="b">
        <f t="shared" si="2"/>
        <v>0</v>
      </c>
      <c r="F20" s="5" t="b">
        <f t="shared" si="3"/>
        <v>1</v>
      </c>
    </row>
    <row r="22" spans="1:8">
      <c r="A22" s="6" t="s">
        <v>6</v>
      </c>
      <c r="B22" s="6" t="s">
        <v>13</v>
      </c>
      <c r="C22" s="6" t="s">
        <v>14</v>
      </c>
      <c r="D22" s="6" t="s">
        <v>15</v>
      </c>
      <c r="E22" s="6" t="s">
        <v>16</v>
      </c>
    </row>
    <row r="23" spans="1:8">
      <c r="A23" s="1">
        <v>1</v>
      </c>
      <c r="B23" s="1">
        <v>10</v>
      </c>
      <c r="C23" s="1">
        <f>A23/B23</f>
        <v>0.1</v>
      </c>
      <c r="D23" s="1">
        <f>A23^B23</f>
        <v>1</v>
      </c>
      <c r="E23" s="1">
        <f>SQRT(A23)</f>
        <v>1</v>
      </c>
    </row>
    <row r="24" spans="1:8">
      <c r="A24" s="1">
        <v>3</v>
      </c>
      <c r="B24" s="1">
        <v>3</v>
      </c>
      <c r="C24" s="1">
        <f>A24/B24</f>
        <v>1</v>
      </c>
      <c r="D24" s="1">
        <f>A24^B24</f>
        <v>27</v>
      </c>
      <c r="E24" s="1">
        <f>SQRT(A24)</f>
        <v>1.7320508075688772</v>
      </c>
    </row>
    <row r="26" spans="1:8" ht="16.2">
      <c r="A26" s="6" t="s">
        <v>6</v>
      </c>
      <c r="B26" s="6" t="s">
        <v>13</v>
      </c>
      <c r="C26" s="6" t="s">
        <v>17</v>
      </c>
      <c r="D26" s="6" t="s">
        <v>18</v>
      </c>
      <c r="E26" s="6" t="s">
        <v>19</v>
      </c>
    </row>
    <row r="27" spans="1:8">
      <c r="A27" s="1">
        <v>16</v>
      </c>
      <c r="B27" s="1">
        <v>4</v>
      </c>
      <c r="C27" s="1">
        <f>A27^2+B27</f>
        <v>260</v>
      </c>
      <c r="D27" s="1">
        <f>(A27-B27)*A27</f>
        <v>192</v>
      </c>
      <c r="E27" s="1">
        <f>IFERROR(((A27+B27)/(A27-B27))^4,0)</f>
        <v>7.7160493827160517</v>
      </c>
    </row>
    <row r="28" spans="1:8">
      <c r="A28" s="1">
        <v>5</v>
      </c>
      <c r="B28" s="1">
        <v>5</v>
      </c>
      <c r="C28" s="1">
        <f>A28^2+B28</f>
        <v>30</v>
      </c>
      <c r="D28" s="1">
        <f>(A28-B28)*A28</f>
        <v>0</v>
      </c>
      <c r="E28" s="1">
        <f>IFERROR(((A28+B28)/(A28-B28))^4,0)</f>
        <v>0</v>
      </c>
    </row>
    <row r="30" spans="1:8">
      <c r="A30" s="4" t="s">
        <v>20</v>
      </c>
      <c r="B30" s="4" t="s">
        <v>21</v>
      </c>
      <c r="C30" s="4" t="s">
        <v>22</v>
      </c>
      <c r="D30" s="4" t="s">
        <v>23</v>
      </c>
      <c r="E30" s="4" t="s">
        <v>24</v>
      </c>
      <c r="F30" s="4" t="s">
        <v>25</v>
      </c>
      <c r="G30" s="4" t="s">
        <v>26</v>
      </c>
      <c r="H30" s="4" t="s">
        <v>28</v>
      </c>
    </row>
    <row r="31" spans="1:8">
      <c r="A31" s="4">
        <v>7</v>
      </c>
      <c r="B31" s="4">
        <v>2</v>
      </c>
      <c r="C31" s="1">
        <f>MOD(A31,B31)</f>
        <v>1</v>
      </c>
      <c r="D31" s="1">
        <f>INT(A31/B31)</f>
        <v>3</v>
      </c>
      <c r="E31" s="1">
        <f>SQRT(A31+B31)</f>
        <v>3</v>
      </c>
      <c r="F31" s="1">
        <f>ROUND(A31/B31,2)</f>
        <v>3.5</v>
      </c>
      <c r="G31" s="1">
        <f>POWER(A31,4)</f>
        <v>2401</v>
      </c>
      <c r="H31" s="1">
        <f>PRODUCT(A31,B31)</f>
        <v>14</v>
      </c>
    </row>
    <row r="32" spans="1:8">
      <c r="A32" s="4">
        <v>13</v>
      </c>
      <c r="B32" s="4">
        <v>-4</v>
      </c>
      <c r="C32" s="1">
        <f t="shared" ref="C32:C34" si="4">MOD(A32,B32)</f>
        <v>-3</v>
      </c>
      <c r="D32" s="1">
        <f t="shared" ref="D32:D34" si="5">INT(A32/B32)</f>
        <v>-4</v>
      </c>
      <c r="E32" s="1">
        <f t="shared" ref="E32:E34" si="6">SQRT(A32+B32)</f>
        <v>3</v>
      </c>
      <c r="F32" s="1">
        <f t="shared" ref="F32:F34" si="7">ROUND(A32/B32,2)</f>
        <v>-3.25</v>
      </c>
      <c r="G32" s="1">
        <f t="shared" ref="G32:G34" si="8">POWER(A32,4)</f>
        <v>28561</v>
      </c>
      <c r="H32" s="1">
        <f t="shared" ref="H32:H34" si="9">PRODUCT(A32,B32)</f>
        <v>-52</v>
      </c>
    </row>
    <row r="33" spans="1:8">
      <c r="A33" s="4">
        <v>15</v>
      </c>
      <c r="B33" s="4">
        <v>66</v>
      </c>
      <c r="C33" s="1">
        <f t="shared" si="4"/>
        <v>15</v>
      </c>
      <c r="D33" s="1">
        <f t="shared" si="5"/>
        <v>0</v>
      </c>
      <c r="E33" s="1">
        <f t="shared" si="6"/>
        <v>9</v>
      </c>
      <c r="F33" s="1">
        <f t="shared" si="7"/>
        <v>0.23</v>
      </c>
      <c r="G33" s="1">
        <f t="shared" si="8"/>
        <v>50625</v>
      </c>
      <c r="H33" s="1">
        <f t="shared" si="9"/>
        <v>990</v>
      </c>
    </row>
    <row r="34" spans="1:8">
      <c r="A34" s="4">
        <v>8</v>
      </c>
      <c r="B34" s="4">
        <v>8</v>
      </c>
      <c r="C34" s="1">
        <f t="shared" si="4"/>
        <v>0</v>
      </c>
      <c r="D34" s="1">
        <f t="shared" si="5"/>
        <v>1</v>
      </c>
      <c r="E34" s="1">
        <f t="shared" si="6"/>
        <v>4</v>
      </c>
      <c r="F34" s="1">
        <f t="shared" si="7"/>
        <v>1</v>
      </c>
      <c r="G34" s="1">
        <f t="shared" si="8"/>
        <v>4096</v>
      </c>
      <c r="H34" s="1">
        <f t="shared" si="9"/>
        <v>64</v>
      </c>
    </row>
    <row r="35" spans="1:8">
      <c r="A35" s="43" t="s">
        <v>27</v>
      </c>
      <c r="B35" s="43"/>
      <c r="C35" s="1">
        <f t="shared" ref="C35:H35" si="10">SUM(C31:C34)</f>
        <v>13</v>
      </c>
      <c r="D35" s="1">
        <f t="shared" si="10"/>
        <v>0</v>
      </c>
      <c r="E35" s="1">
        <f t="shared" si="10"/>
        <v>19</v>
      </c>
      <c r="F35" s="1">
        <f t="shared" si="10"/>
        <v>1.48</v>
      </c>
      <c r="G35" s="1">
        <f t="shared" si="10"/>
        <v>85683</v>
      </c>
      <c r="H35" s="1">
        <f t="shared" si="10"/>
        <v>1016</v>
      </c>
    </row>
    <row r="37" spans="1:8">
      <c r="A37" s="8">
        <v>14</v>
      </c>
      <c r="B37" s="9">
        <v>28</v>
      </c>
      <c r="C37" s="9">
        <v>36</v>
      </c>
      <c r="D37" s="10" t="s">
        <v>30</v>
      </c>
      <c r="E37" s="11">
        <v>2</v>
      </c>
    </row>
    <row r="38" spans="1:8">
      <c r="A38" s="12" t="s">
        <v>8</v>
      </c>
      <c r="B38" s="13"/>
      <c r="C38" s="13">
        <v>43</v>
      </c>
      <c r="D38" s="12">
        <v>57</v>
      </c>
      <c r="E38" s="14">
        <v>85</v>
      </c>
    </row>
    <row r="39" spans="1:8">
      <c r="A39" s="13">
        <v>19</v>
      </c>
      <c r="B39" s="13">
        <v>35</v>
      </c>
      <c r="C39" s="15" t="s">
        <v>34</v>
      </c>
      <c r="D39" s="16" t="s">
        <v>35</v>
      </c>
      <c r="E39" s="12">
        <v>13</v>
      </c>
    </row>
    <row r="40" spans="1:8">
      <c r="A40" s="13">
        <v>23</v>
      </c>
      <c r="B40" s="13">
        <v>56</v>
      </c>
      <c r="C40" s="15">
        <v>14</v>
      </c>
      <c r="D40" s="10">
        <v>10</v>
      </c>
      <c r="E40" s="17" t="s">
        <v>31</v>
      </c>
    </row>
    <row r="41" spans="1:8">
      <c r="A41" s="15" t="s">
        <v>29</v>
      </c>
      <c r="B41" s="10">
        <v>49</v>
      </c>
      <c r="C41" s="18">
        <v>28</v>
      </c>
      <c r="D41" s="10">
        <v>53</v>
      </c>
      <c r="E41" s="14"/>
    </row>
    <row r="42" spans="1:8">
      <c r="A42" s="15">
        <v>65</v>
      </c>
      <c r="B42" s="10">
        <v>8</v>
      </c>
      <c r="C42" s="19" t="s">
        <v>33</v>
      </c>
      <c r="D42" s="15">
        <v>52</v>
      </c>
      <c r="E42" s="10">
        <v>24</v>
      </c>
    </row>
    <row r="43" spans="1:8">
      <c r="A43" s="20">
        <v>66</v>
      </c>
      <c r="B43" s="21"/>
      <c r="C43" s="22">
        <v>51</v>
      </c>
      <c r="D43" s="20">
        <v>38</v>
      </c>
      <c r="E43" s="16" t="s">
        <v>32</v>
      </c>
    </row>
    <row r="45" spans="1:8">
      <c r="A45" s="12" t="s">
        <v>36</v>
      </c>
      <c r="B45" s="14">
        <f>MAX(A37:E43)</f>
        <v>85</v>
      </c>
    </row>
    <row r="46" spans="1:8">
      <c r="A46" s="23" t="s">
        <v>37</v>
      </c>
      <c r="B46" s="24">
        <f>MIN(A37:E43)</f>
        <v>2</v>
      </c>
    </row>
    <row r="47" spans="1:8">
      <c r="A47" s="12" t="s">
        <v>38</v>
      </c>
      <c r="B47" s="14">
        <f>AVERAGE(A37:E43)</f>
        <v>36.208333333333336</v>
      </c>
    </row>
    <row r="48" spans="1:8">
      <c r="A48" s="12" t="s">
        <v>39</v>
      </c>
      <c r="B48" s="14">
        <f>SUM(A37:E43)</f>
        <v>869</v>
      </c>
    </row>
    <row r="49" spans="1:2">
      <c r="A49" s="25" t="s">
        <v>40</v>
      </c>
      <c r="B49" s="11">
        <f>COUNT(A37:E43)</f>
        <v>24</v>
      </c>
    </row>
    <row r="50" spans="1:2">
      <c r="A50" s="12" t="s">
        <v>41</v>
      </c>
      <c r="B50" s="14">
        <f>COUNTA(A37:E43)-B49</f>
        <v>8</v>
      </c>
    </row>
    <row r="51" spans="1:2">
      <c r="A51" s="26" t="s">
        <v>42</v>
      </c>
      <c r="B51" s="17">
        <f>COUNTIF(A37:E43,"&gt;50")</f>
        <v>8</v>
      </c>
    </row>
    <row r="52" spans="1:2">
      <c r="A52" s="12" t="s">
        <v>43</v>
      </c>
      <c r="B52" s="14">
        <f>COUNTIF(A37:E43,"com*")</f>
        <v>3</v>
      </c>
    </row>
    <row r="53" spans="1:2">
      <c r="B53" s="7"/>
    </row>
  </sheetData>
  <mergeCells count="1">
    <mergeCell ref="A35:B35"/>
  </mergeCells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0AFCC-9910-4535-B033-C9E9A7AF31AF}">
  <dimension ref="B1:X25"/>
  <sheetViews>
    <sheetView tabSelected="1" zoomScale="70" zoomScaleNormal="70" workbookViewId="0">
      <selection activeCell="N21" sqref="N21"/>
    </sheetView>
  </sheetViews>
  <sheetFormatPr defaultRowHeight="14.4"/>
  <cols>
    <col min="4" max="4" width="20" customWidth="1"/>
    <col min="11" max="11" width="12.44140625" customWidth="1"/>
    <col min="14" max="15" width="9.109375" customWidth="1"/>
    <col min="21" max="21" width="19.5546875" customWidth="1"/>
    <col min="22" max="22" width="9.44140625" bestFit="1" customWidth="1"/>
    <col min="23" max="23" width="14.88671875" customWidth="1"/>
    <col min="24" max="24" width="12.6640625" customWidth="1"/>
  </cols>
  <sheetData>
    <row r="1" spans="2:20">
      <c r="B1" s="27" t="s">
        <v>128</v>
      </c>
      <c r="C1" s="27" t="s">
        <v>44</v>
      </c>
      <c r="D1" s="27" t="s">
        <v>45</v>
      </c>
      <c r="E1" s="27" t="s">
        <v>46</v>
      </c>
      <c r="F1" s="27" t="s">
        <v>47</v>
      </c>
      <c r="G1" s="27" t="s">
        <v>48</v>
      </c>
      <c r="H1" s="27" t="s">
        <v>49</v>
      </c>
      <c r="I1" s="27" t="s">
        <v>116</v>
      </c>
      <c r="J1" s="27" t="s">
        <v>117</v>
      </c>
      <c r="K1" s="27" t="s">
        <v>118</v>
      </c>
      <c r="L1" s="27" t="s">
        <v>119</v>
      </c>
      <c r="M1" s="27" t="s">
        <v>120</v>
      </c>
      <c r="N1" s="27" t="s">
        <v>121</v>
      </c>
      <c r="O1" s="27" t="s">
        <v>122</v>
      </c>
      <c r="P1" s="27" t="s">
        <v>123</v>
      </c>
      <c r="Q1" s="27" t="s">
        <v>124</v>
      </c>
      <c r="R1" s="27" t="s">
        <v>125</v>
      </c>
      <c r="S1" s="27" t="s">
        <v>126</v>
      </c>
      <c r="T1" s="27" t="s">
        <v>127</v>
      </c>
    </row>
    <row r="2" spans="2:20">
      <c r="B2" s="28">
        <f t="shared" ref="B2:B21" si="0">ROW(A2)-1</f>
        <v>1</v>
      </c>
      <c r="C2" s="29" t="s">
        <v>73</v>
      </c>
      <c r="D2" s="29" t="s">
        <v>74</v>
      </c>
      <c r="E2" s="29" t="s">
        <v>75</v>
      </c>
      <c r="F2" s="29" t="s">
        <v>20</v>
      </c>
      <c r="G2" s="30">
        <v>1977</v>
      </c>
      <c r="H2" s="29" t="s">
        <v>57</v>
      </c>
      <c r="I2" s="30">
        <v>9</v>
      </c>
      <c r="J2" s="30">
        <v>10</v>
      </c>
      <c r="K2" s="30">
        <v>9</v>
      </c>
      <c r="L2" s="30">
        <v>9</v>
      </c>
      <c r="M2" s="29">
        <f t="shared" ref="M2:M21" si="1">SUM(I2:L2)</f>
        <v>37</v>
      </c>
      <c r="N2" s="31">
        <f t="shared" ref="N2:N21" si="2">IF( RIGHT(C2,1)="1",2,IF(RIGHT(C2,1)="2",1.5,1))</f>
        <v>1.5</v>
      </c>
      <c r="O2" s="31">
        <f t="shared" ref="O2:O21" si="3">SUM(M2:N2)</f>
        <v>38.5</v>
      </c>
      <c r="P2" s="31" t="str">
        <f t="shared" ref="P2:P21" si="4">IF(LEFT(C2,1)="A","Toán",IF(LEFT(C2,1)="B","Lý",IF(LEFT(C2,1)="C","Hóa","Sinh")))</f>
        <v>Sinh</v>
      </c>
      <c r="Q2" s="31">
        <f t="shared" ref="Q2:Q21" si="5">IF(P2="Toán",30,IF(P2="Lý",28,IF(P2="Hóa",26,24)))</f>
        <v>24</v>
      </c>
      <c r="R2" s="31" t="str">
        <f t="shared" ref="R2:R21" si="6">IF(M2&gt;=Q2,"Đạt","")</f>
        <v>Đạt</v>
      </c>
      <c r="S2" s="1" t="str">
        <f t="shared" ref="S2:S21" si="7">IF(AND(I2&gt;=9,OR(L2&gt;8,K2&gt;8)),"x","")</f>
        <v>x</v>
      </c>
      <c r="T2" s="1" t="str">
        <f t="shared" ref="T2:T21" si="8">IF(AND(I2&gt;=9,OR(L2&gt;8,J2&gt;8)),"x","")</f>
        <v>x</v>
      </c>
    </row>
    <row r="3" spans="2:20">
      <c r="B3" s="28">
        <f t="shared" si="0"/>
        <v>2</v>
      </c>
      <c r="C3" s="29" t="s">
        <v>62</v>
      </c>
      <c r="D3" s="29" t="s">
        <v>63</v>
      </c>
      <c r="E3" s="29" t="s">
        <v>64</v>
      </c>
      <c r="F3" s="29" t="s">
        <v>20</v>
      </c>
      <c r="G3" s="30">
        <v>1969</v>
      </c>
      <c r="H3" s="29" t="s">
        <v>65</v>
      </c>
      <c r="I3" s="30">
        <v>6</v>
      </c>
      <c r="J3" s="30">
        <v>3</v>
      </c>
      <c r="K3" s="30">
        <v>3</v>
      </c>
      <c r="L3" s="30">
        <v>7</v>
      </c>
      <c r="M3" s="29">
        <f t="shared" si="1"/>
        <v>19</v>
      </c>
      <c r="N3" s="31">
        <f t="shared" si="2"/>
        <v>1</v>
      </c>
      <c r="O3" s="31">
        <f t="shared" si="3"/>
        <v>20</v>
      </c>
      <c r="P3" s="31" t="str">
        <f t="shared" si="4"/>
        <v>Lý</v>
      </c>
      <c r="Q3" s="31">
        <f t="shared" si="5"/>
        <v>28</v>
      </c>
      <c r="R3" s="31" t="str">
        <f t="shared" si="6"/>
        <v/>
      </c>
      <c r="S3" s="1" t="str">
        <f t="shared" si="7"/>
        <v/>
      </c>
      <c r="T3" s="1" t="str">
        <f t="shared" si="8"/>
        <v/>
      </c>
    </row>
    <row r="4" spans="2:20">
      <c r="B4" s="28">
        <f t="shared" si="0"/>
        <v>3</v>
      </c>
      <c r="C4" s="29" t="s">
        <v>113</v>
      </c>
      <c r="D4" s="29" t="s">
        <v>114</v>
      </c>
      <c r="E4" s="29" t="s">
        <v>64</v>
      </c>
      <c r="F4" s="29" t="s">
        <v>20</v>
      </c>
      <c r="G4" s="30">
        <v>1984</v>
      </c>
      <c r="H4" s="29" t="s">
        <v>115</v>
      </c>
      <c r="I4" s="30">
        <v>5</v>
      </c>
      <c r="J4" s="30">
        <v>8</v>
      </c>
      <c r="K4" s="30">
        <v>9</v>
      </c>
      <c r="L4" s="30">
        <v>7</v>
      </c>
      <c r="M4" s="29">
        <f t="shared" si="1"/>
        <v>29</v>
      </c>
      <c r="N4" s="31">
        <f t="shared" si="2"/>
        <v>2</v>
      </c>
      <c r="O4" s="31">
        <f t="shared" si="3"/>
        <v>31</v>
      </c>
      <c r="P4" s="31" t="str">
        <f t="shared" si="4"/>
        <v>Toán</v>
      </c>
      <c r="Q4" s="31">
        <f t="shared" si="5"/>
        <v>30</v>
      </c>
      <c r="R4" s="31" t="str">
        <f t="shared" si="6"/>
        <v/>
      </c>
      <c r="S4" s="1" t="str">
        <f t="shared" si="7"/>
        <v/>
      </c>
      <c r="T4" s="1" t="str">
        <f t="shared" si="8"/>
        <v/>
      </c>
    </row>
    <row r="5" spans="2:20">
      <c r="B5" s="28">
        <f t="shared" si="0"/>
        <v>4</v>
      </c>
      <c r="C5" s="29" t="s">
        <v>110</v>
      </c>
      <c r="D5" s="29" t="s">
        <v>111</v>
      </c>
      <c r="E5" s="29" t="s">
        <v>112</v>
      </c>
      <c r="F5" s="29"/>
      <c r="G5" s="30">
        <v>1985</v>
      </c>
      <c r="H5" s="29" t="s">
        <v>65</v>
      </c>
      <c r="I5" s="30">
        <v>8</v>
      </c>
      <c r="J5" s="30">
        <v>3</v>
      </c>
      <c r="K5" s="30">
        <v>5</v>
      </c>
      <c r="L5" s="30">
        <v>6</v>
      </c>
      <c r="M5" s="29">
        <f t="shared" si="1"/>
        <v>22</v>
      </c>
      <c r="N5" s="31">
        <f t="shared" si="2"/>
        <v>1.5</v>
      </c>
      <c r="O5" s="31">
        <f t="shared" si="3"/>
        <v>23.5</v>
      </c>
      <c r="P5" s="31" t="str">
        <f t="shared" si="4"/>
        <v>Toán</v>
      </c>
      <c r="Q5" s="31">
        <f t="shared" si="5"/>
        <v>30</v>
      </c>
      <c r="R5" s="31" t="str">
        <f t="shared" si="6"/>
        <v/>
      </c>
      <c r="S5" s="1" t="str">
        <f t="shared" si="7"/>
        <v/>
      </c>
      <c r="T5" s="1" t="str">
        <f t="shared" si="8"/>
        <v/>
      </c>
    </row>
    <row r="6" spans="2:20">
      <c r="B6" s="28">
        <f t="shared" si="0"/>
        <v>5</v>
      </c>
      <c r="C6" s="29" t="s">
        <v>70</v>
      </c>
      <c r="D6" s="29" t="s">
        <v>71</v>
      </c>
      <c r="E6" s="29" t="s">
        <v>72</v>
      </c>
      <c r="F6" s="29"/>
      <c r="G6" s="30">
        <v>1980</v>
      </c>
      <c r="H6" s="29" t="s">
        <v>53</v>
      </c>
      <c r="I6" s="30">
        <v>8</v>
      </c>
      <c r="J6" s="30">
        <v>5</v>
      </c>
      <c r="K6" s="30">
        <v>2</v>
      </c>
      <c r="L6" s="30">
        <v>5</v>
      </c>
      <c r="M6" s="29">
        <f t="shared" si="1"/>
        <v>20</v>
      </c>
      <c r="N6" s="31">
        <f t="shared" si="2"/>
        <v>2</v>
      </c>
      <c r="O6" s="31">
        <f t="shared" si="3"/>
        <v>22</v>
      </c>
      <c r="P6" s="31" t="str">
        <f t="shared" si="4"/>
        <v>Hóa</v>
      </c>
      <c r="Q6" s="31">
        <f t="shared" si="5"/>
        <v>26</v>
      </c>
      <c r="R6" s="31" t="str">
        <f t="shared" si="6"/>
        <v/>
      </c>
      <c r="S6" s="1" t="str">
        <f t="shared" si="7"/>
        <v/>
      </c>
      <c r="T6" s="1" t="str">
        <f t="shared" si="8"/>
        <v/>
      </c>
    </row>
    <row r="7" spans="2:20">
      <c r="B7" s="28">
        <f t="shared" si="0"/>
        <v>6</v>
      </c>
      <c r="C7" s="29" t="s">
        <v>83</v>
      </c>
      <c r="D7" s="29" t="s">
        <v>84</v>
      </c>
      <c r="E7" s="29" t="s">
        <v>72</v>
      </c>
      <c r="F7" s="29"/>
      <c r="G7" s="30">
        <v>1970</v>
      </c>
      <c r="H7" s="29" t="s">
        <v>85</v>
      </c>
      <c r="I7" s="30">
        <v>8</v>
      </c>
      <c r="J7" s="30">
        <v>8</v>
      </c>
      <c r="K7" s="30">
        <v>6</v>
      </c>
      <c r="L7" s="30">
        <v>6</v>
      </c>
      <c r="M7" s="29">
        <f t="shared" si="1"/>
        <v>28</v>
      </c>
      <c r="N7" s="31">
        <f t="shared" si="2"/>
        <v>1</v>
      </c>
      <c r="O7" s="31">
        <f t="shared" si="3"/>
        <v>29</v>
      </c>
      <c r="P7" s="31" t="str">
        <f t="shared" si="4"/>
        <v>Sinh</v>
      </c>
      <c r="Q7" s="31">
        <f t="shared" si="5"/>
        <v>24</v>
      </c>
      <c r="R7" s="31" t="str">
        <f t="shared" si="6"/>
        <v>Đạt</v>
      </c>
      <c r="S7" s="1" t="str">
        <f t="shared" si="7"/>
        <v/>
      </c>
      <c r="T7" s="1" t="str">
        <f t="shared" si="8"/>
        <v/>
      </c>
    </row>
    <row r="8" spans="2:20">
      <c r="B8" s="28">
        <f t="shared" si="0"/>
        <v>7</v>
      </c>
      <c r="C8" s="29" t="s">
        <v>101</v>
      </c>
      <c r="D8" s="29" t="s">
        <v>102</v>
      </c>
      <c r="E8" s="29" t="s">
        <v>103</v>
      </c>
      <c r="F8" s="29"/>
      <c r="G8" s="30">
        <v>1986</v>
      </c>
      <c r="H8" s="29" t="s">
        <v>82</v>
      </c>
      <c r="I8" s="30">
        <v>6</v>
      </c>
      <c r="J8" s="30">
        <v>4</v>
      </c>
      <c r="K8" s="30">
        <v>5</v>
      </c>
      <c r="L8" s="30">
        <v>7</v>
      </c>
      <c r="M8" s="29">
        <f t="shared" si="1"/>
        <v>22</v>
      </c>
      <c r="N8" s="31">
        <f t="shared" si="2"/>
        <v>1</v>
      </c>
      <c r="O8" s="31">
        <f t="shared" si="3"/>
        <v>23</v>
      </c>
      <c r="P8" s="31" t="str">
        <f t="shared" si="4"/>
        <v>Lý</v>
      </c>
      <c r="Q8" s="31">
        <f t="shared" si="5"/>
        <v>28</v>
      </c>
      <c r="R8" s="31" t="str">
        <f t="shared" si="6"/>
        <v/>
      </c>
      <c r="S8" s="1" t="str">
        <f t="shared" si="7"/>
        <v/>
      </c>
      <c r="T8" s="1" t="str">
        <f t="shared" si="8"/>
        <v/>
      </c>
    </row>
    <row r="9" spans="2:20">
      <c r="B9" s="28">
        <f t="shared" si="0"/>
        <v>8</v>
      </c>
      <c r="C9" s="29" t="s">
        <v>66</v>
      </c>
      <c r="D9" s="29" t="s">
        <v>67</v>
      </c>
      <c r="E9" s="29" t="s">
        <v>68</v>
      </c>
      <c r="F9" s="29"/>
      <c r="G9" s="30">
        <v>1972</v>
      </c>
      <c r="H9" s="29" t="s">
        <v>69</v>
      </c>
      <c r="I9" s="30">
        <v>5</v>
      </c>
      <c r="J9" s="30">
        <v>8</v>
      </c>
      <c r="K9" s="30">
        <v>1</v>
      </c>
      <c r="L9" s="30">
        <v>9</v>
      </c>
      <c r="M9" s="29">
        <f t="shared" si="1"/>
        <v>23</v>
      </c>
      <c r="N9" s="31">
        <f t="shared" si="2"/>
        <v>2</v>
      </c>
      <c r="O9" s="31">
        <f t="shared" si="3"/>
        <v>25</v>
      </c>
      <c r="P9" s="31" t="str">
        <f t="shared" si="4"/>
        <v>Lý</v>
      </c>
      <c r="Q9" s="31">
        <f t="shared" si="5"/>
        <v>28</v>
      </c>
      <c r="R9" s="31" t="str">
        <f t="shared" si="6"/>
        <v/>
      </c>
      <c r="S9" s="1" t="str">
        <f t="shared" si="7"/>
        <v/>
      </c>
      <c r="T9" s="1" t="str">
        <f t="shared" si="8"/>
        <v/>
      </c>
    </row>
    <row r="10" spans="2:20">
      <c r="B10" s="28">
        <f t="shared" si="0"/>
        <v>9</v>
      </c>
      <c r="C10" s="29" t="s">
        <v>54</v>
      </c>
      <c r="D10" s="29" t="s">
        <v>55</v>
      </c>
      <c r="E10" s="29" t="s">
        <v>56</v>
      </c>
      <c r="F10" s="29" t="s">
        <v>20</v>
      </c>
      <c r="G10" s="30">
        <v>1974</v>
      </c>
      <c r="H10" s="29" t="s">
        <v>57</v>
      </c>
      <c r="I10" s="30">
        <v>6</v>
      </c>
      <c r="J10" s="30">
        <v>8</v>
      </c>
      <c r="K10" s="30">
        <v>5</v>
      </c>
      <c r="L10" s="30">
        <v>10</v>
      </c>
      <c r="M10" s="29">
        <f t="shared" si="1"/>
        <v>29</v>
      </c>
      <c r="N10" s="31">
        <f t="shared" si="2"/>
        <v>1.5</v>
      </c>
      <c r="O10" s="31">
        <f t="shared" si="3"/>
        <v>30.5</v>
      </c>
      <c r="P10" s="31" t="str">
        <f t="shared" si="4"/>
        <v>Lý</v>
      </c>
      <c r="Q10" s="31">
        <f t="shared" si="5"/>
        <v>28</v>
      </c>
      <c r="R10" s="31" t="str">
        <f t="shared" si="6"/>
        <v>Đạt</v>
      </c>
      <c r="S10" s="1" t="str">
        <f t="shared" si="7"/>
        <v/>
      </c>
      <c r="T10" s="1" t="str">
        <f t="shared" si="8"/>
        <v/>
      </c>
    </row>
    <row r="11" spans="2:20">
      <c r="B11" s="28">
        <f t="shared" si="0"/>
        <v>10</v>
      </c>
      <c r="C11" s="29" t="s">
        <v>89</v>
      </c>
      <c r="D11" s="29" t="s">
        <v>90</v>
      </c>
      <c r="E11" s="29" t="s">
        <v>91</v>
      </c>
      <c r="F11" s="29" t="s">
        <v>20</v>
      </c>
      <c r="G11" s="30">
        <v>1982</v>
      </c>
      <c r="H11" s="29" t="s">
        <v>92</v>
      </c>
      <c r="I11" s="30">
        <v>6</v>
      </c>
      <c r="J11" s="30">
        <v>9</v>
      </c>
      <c r="K11" s="30">
        <v>10</v>
      </c>
      <c r="L11" s="30">
        <v>8</v>
      </c>
      <c r="M11" s="29">
        <f t="shared" si="1"/>
        <v>33</v>
      </c>
      <c r="N11" s="31">
        <f t="shared" si="2"/>
        <v>1.5</v>
      </c>
      <c r="O11" s="31">
        <f t="shared" si="3"/>
        <v>34.5</v>
      </c>
      <c r="P11" s="31" t="str">
        <f t="shared" si="4"/>
        <v>Lý</v>
      </c>
      <c r="Q11" s="31">
        <f t="shared" si="5"/>
        <v>28</v>
      </c>
      <c r="R11" s="31" t="str">
        <f t="shared" si="6"/>
        <v>Đạt</v>
      </c>
      <c r="S11" s="1" t="str">
        <f t="shared" si="7"/>
        <v/>
      </c>
      <c r="T11" s="1" t="str">
        <f t="shared" si="8"/>
        <v/>
      </c>
    </row>
    <row r="12" spans="2:20">
      <c r="B12" s="28">
        <f t="shared" si="0"/>
        <v>11</v>
      </c>
      <c r="C12" s="29" t="s">
        <v>96</v>
      </c>
      <c r="D12" s="29" t="s">
        <v>97</v>
      </c>
      <c r="E12" s="29" t="s">
        <v>91</v>
      </c>
      <c r="F12" s="29"/>
      <c r="G12" s="30">
        <v>1984</v>
      </c>
      <c r="H12" s="29" t="s">
        <v>57</v>
      </c>
      <c r="I12" s="30">
        <v>7</v>
      </c>
      <c r="J12" s="30">
        <v>9</v>
      </c>
      <c r="K12" s="30">
        <v>8</v>
      </c>
      <c r="L12" s="30">
        <v>10</v>
      </c>
      <c r="M12" s="29">
        <f t="shared" si="1"/>
        <v>34</v>
      </c>
      <c r="N12" s="31">
        <f t="shared" si="2"/>
        <v>1.5</v>
      </c>
      <c r="O12" s="31">
        <f t="shared" si="3"/>
        <v>35.5</v>
      </c>
      <c r="P12" s="31" t="str">
        <f t="shared" si="4"/>
        <v>Lý</v>
      </c>
      <c r="Q12" s="31">
        <f t="shared" si="5"/>
        <v>28</v>
      </c>
      <c r="R12" s="31" t="str">
        <f t="shared" si="6"/>
        <v>Đạt</v>
      </c>
      <c r="S12" s="1" t="str">
        <f t="shared" si="7"/>
        <v/>
      </c>
      <c r="T12" s="1" t="str">
        <f t="shared" si="8"/>
        <v/>
      </c>
    </row>
    <row r="13" spans="2:20">
      <c r="B13" s="28">
        <f t="shared" si="0"/>
        <v>12</v>
      </c>
      <c r="C13" s="29" t="s">
        <v>104</v>
      </c>
      <c r="D13" s="29" t="s">
        <v>105</v>
      </c>
      <c r="E13" s="29" t="s">
        <v>106</v>
      </c>
      <c r="F13" s="29"/>
      <c r="G13" s="30">
        <v>1985</v>
      </c>
      <c r="H13" s="29" t="s">
        <v>85</v>
      </c>
      <c r="I13" s="30">
        <v>7</v>
      </c>
      <c r="J13" s="30">
        <v>4</v>
      </c>
      <c r="K13" s="30">
        <v>7</v>
      </c>
      <c r="L13" s="30">
        <v>7</v>
      </c>
      <c r="M13" s="29">
        <f t="shared" si="1"/>
        <v>25</v>
      </c>
      <c r="N13" s="31">
        <f t="shared" si="2"/>
        <v>2</v>
      </c>
      <c r="O13" s="31">
        <f t="shared" si="3"/>
        <v>27</v>
      </c>
      <c r="P13" s="31" t="str">
        <f t="shared" si="4"/>
        <v>Hóa</v>
      </c>
      <c r="Q13" s="31">
        <f t="shared" si="5"/>
        <v>26</v>
      </c>
      <c r="R13" s="31" t="str">
        <f t="shared" si="6"/>
        <v/>
      </c>
      <c r="S13" s="1" t="str">
        <f t="shared" si="7"/>
        <v/>
      </c>
      <c r="T13" s="1" t="str">
        <f t="shared" si="8"/>
        <v/>
      </c>
    </row>
    <row r="14" spans="2:20">
      <c r="B14" s="28">
        <f t="shared" si="0"/>
        <v>13</v>
      </c>
      <c r="C14" s="29" t="s">
        <v>93</v>
      </c>
      <c r="D14" s="29" t="s">
        <v>94</v>
      </c>
      <c r="E14" s="29" t="s">
        <v>95</v>
      </c>
      <c r="F14" s="29" t="s">
        <v>20</v>
      </c>
      <c r="G14" s="30">
        <v>1985</v>
      </c>
      <c r="H14" s="29" t="s">
        <v>53</v>
      </c>
      <c r="I14" s="30">
        <v>8</v>
      </c>
      <c r="J14" s="30">
        <v>5</v>
      </c>
      <c r="K14" s="30">
        <v>9</v>
      </c>
      <c r="L14" s="30">
        <v>10</v>
      </c>
      <c r="M14" s="29">
        <f t="shared" si="1"/>
        <v>32</v>
      </c>
      <c r="N14" s="31">
        <f t="shared" si="2"/>
        <v>2</v>
      </c>
      <c r="O14" s="31">
        <f t="shared" si="3"/>
        <v>34</v>
      </c>
      <c r="P14" s="31" t="str">
        <f t="shared" si="4"/>
        <v>Toán</v>
      </c>
      <c r="Q14" s="31">
        <f t="shared" si="5"/>
        <v>30</v>
      </c>
      <c r="R14" s="31" t="str">
        <f t="shared" si="6"/>
        <v>Đạt</v>
      </c>
      <c r="S14" s="1" t="str">
        <f t="shared" si="7"/>
        <v/>
      </c>
      <c r="T14" s="1" t="str">
        <f t="shared" si="8"/>
        <v/>
      </c>
    </row>
    <row r="15" spans="2:20">
      <c r="B15" s="28">
        <f t="shared" si="0"/>
        <v>14</v>
      </c>
      <c r="C15" s="29" t="s">
        <v>58</v>
      </c>
      <c r="D15" s="29" t="s">
        <v>59</v>
      </c>
      <c r="E15" s="29" t="s">
        <v>60</v>
      </c>
      <c r="F15" s="29"/>
      <c r="G15" s="30">
        <v>1975</v>
      </c>
      <c r="H15" s="29" t="s">
        <v>61</v>
      </c>
      <c r="I15" s="30">
        <v>4</v>
      </c>
      <c r="J15" s="30">
        <v>4</v>
      </c>
      <c r="K15" s="30">
        <v>5</v>
      </c>
      <c r="L15" s="30">
        <v>5</v>
      </c>
      <c r="M15" s="29">
        <f t="shared" si="1"/>
        <v>18</v>
      </c>
      <c r="N15" s="31">
        <f t="shared" si="2"/>
        <v>2</v>
      </c>
      <c r="O15" s="31">
        <f t="shared" si="3"/>
        <v>20</v>
      </c>
      <c r="P15" s="31" t="str">
        <f t="shared" si="4"/>
        <v>Hóa</v>
      </c>
      <c r="Q15" s="31">
        <f t="shared" si="5"/>
        <v>26</v>
      </c>
      <c r="R15" s="31" t="str">
        <f t="shared" si="6"/>
        <v/>
      </c>
      <c r="S15" s="1" t="str">
        <f t="shared" si="7"/>
        <v/>
      </c>
      <c r="T15" s="1" t="str">
        <f t="shared" si="8"/>
        <v/>
      </c>
    </row>
    <row r="16" spans="2:20">
      <c r="B16" s="28">
        <f t="shared" si="0"/>
        <v>15</v>
      </c>
      <c r="C16" s="29" t="s">
        <v>86</v>
      </c>
      <c r="D16" s="29" t="s">
        <v>87</v>
      </c>
      <c r="E16" s="29" t="s">
        <v>88</v>
      </c>
      <c r="F16" s="29" t="s">
        <v>20</v>
      </c>
      <c r="G16" s="30">
        <v>1986</v>
      </c>
      <c r="H16" s="29" t="s">
        <v>69</v>
      </c>
      <c r="I16" s="30">
        <v>7</v>
      </c>
      <c r="J16" s="30">
        <v>5</v>
      </c>
      <c r="K16" s="30">
        <v>8</v>
      </c>
      <c r="L16" s="30">
        <v>8</v>
      </c>
      <c r="M16" s="29">
        <f t="shared" si="1"/>
        <v>28</v>
      </c>
      <c r="N16" s="31">
        <f t="shared" si="2"/>
        <v>2</v>
      </c>
      <c r="O16" s="31">
        <f t="shared" si="3"/>
        <v>30</v>
      </c>
      <c r="P16" s="31" t="str">
        <f t="shared" si="4"/>
        <v>Hóa</v>
      </c>
      <c r="Q16" s="31">
        <f t="shared" si="5"/>
        <v>26</v>
      </c>
      <c r="R16" s="31" t="str">
        <f t="shared" si="6"/>
        <v>Đạt</v>
      </c>
      <c r="S16" s="1" t="str">
        <f t="shared" si="7"/>
        <v/>
      </c>
      <c r="T16" s="1" t="str">
        <f t="shared" si="8"/>
        <v/>
      </c>
    </row>
    <row r="17" spans="2:24">
      <c r="B17" s="28">
        <f t="shared" si="0"/>
        <v>16</v>
      </c>
      <c r="C17" s="29" t="s">
        <v>98</v>
      </c>
      <c r="D17" s="29" t="s">
        <v>99</v>
      </c>
      <c r="E17" s="29" t="s">
        <v>88</v>
      </c>
      <c r="F17" s="29" t="s">
        <v>20</v>
      </c>
      <c r="G17" s="30">
        <v>1982</v>
      </c>
      <c r="H17" s="29" t="s">
        <v>100</v>
      </c>
      <c r="I17" s="30">
        <v>8</v>
      </c>
      <c r="J17" s="30">
        <v>8</v>
      </c>
      <c r="K17" s="30">
        <v>10</v>
      </c>
      <c r="L17" s="30">
        <v>7</v>
      </c>
      <c r="M17" s="29">
        <f t="shared" si="1"/>
        <v>33</v>
      </c>
      <c r="N17" s="31">
        <f t="shared" si="2"/>
        <v>1</v>
      </c>
      <c r="O17" s="31">
        <f t="shared" si="3"/>
        <v>34</v>
      </c>
      <c r="P17" s="31" t="str">
        <f t="shared" si="4"/>
        <v>Sinh</v>
      </c>
      <c r="Q17" s="31">
        <f t="shared" si="5"/>
        <v>24</v>
      </c>
      <c r="R17" s="31" t="str">
        <f t="shared" si="6"/>
        <v>Đạt</v>
      </c>
      <c r="S17" s="1" t="str">
        <f t="shared" si="7"/>
        <v/>
      </c>
      <c r="T17" s="1" t="str">
        <f t="shared" si="8"/>
        <v/>
      </c>
    </row>
    <row r="18" spans="2:24">
      <c r="B18" s="28">
        <f t="shared" si="0"/>
        <v>17</v>
      </c>
      <c r="C18" s="29" t="s">
        <v>79</v>
      </c>
      <c r="D18" s="29" t="s">
        <v>80</v>
      </c>
      <c r="E18" s="29" t="s">
        <v>81</v>
      </c>
      <c r="F18" s="29" t="s">
        <v>20</v>
      </c>
      <c r="G18" s="30">
        <v>1975</v>
      </c>
      <c r="H18" s="29" t="s">
        <v>82</v>
      </c>
      <c r="I18" s="30">
        <v>8</v>
      </c>
      <c r="J18" s="30">
        <v>5</v>
      </c>
      <c r="K18" s="30">
        <v>4</v>
      </c>
      <c r="L18" s="30">
        <v>6</v>
      </c>
      <c r="M18" s="29">
        <f t="shared" si="1"/>
        <v>23</v>
      </c>
      <c r="N18" s="31">
        <f t="shared" si="2"/>
        <v>1.5</v>
      </c>
      <c r="O18" s="31">
        <f t="shared" si="3"/>
        <v>24.5</v>
      </c>
      <c r="P18" s="31" t="str">
        <f t="shared" si="4"/>
        <v>Hóa</v>
      </c>
      <c r="Q18" s="31">
        <f t="shared" si="5"/>
        <v>26</v>
      </c>
      <c r="R18" s="31" t="str">
        <f t="shared" si="6"/>
        <v/>
      </c>
      <c r="S18" s="1" t="str">
        <f t="shared" si="7"/>
        <v/>
      </c>
      <c r="T18" s="1" t="str">
        <f t="shared" si="8"/>
        <v/>
      </c>
    </row>
    <row r="19" spans="2:24">
      <c r="B19" s="28">
        <f t="shared" si="0"/>
        <v>18</v>
      </c>
      <c r="C19" s="29" t="s">
        <v>50</v>
      </c>
      <c r="D19" s="29" t="s">
        <v>51</v>
      </c>
      <c r="E19" s="29" t="s">
        <v>52</v>
      </c>
      <c r="F19" s="29"/>
      <c r="G19" s="30">
        <v>1973</v>
      </c>
      <c r="H19" s="29" t="s">
        <v>53</v>
      </c>
      <c r="I19" s="30">
        <v>5</v>
      </c>
      <c r="J19" s="30">
        <v>3</v>
      </c>
      <c r="K19" s="30">
        <v>4</v>
      </c>
      <c r="L19" s="30">
        <v>8</v>
      </c>
      <c r="M19" s="29">
        <f t="shared" si="1"/>
        <v>20</v>
      </c>
      <c r="N19" s="31">
        <f t="shared" si="2"/>
        <v>2</v>
      </c>
      <c r="O19" s="31">
        <f t="shared" si="3"/>
        <v>22</v>
      </c>
      <c r="P19" s="31" t="str">
        <f t="shared" si="4"/>
        <v>Toán</v>
      </c>
      <c r="Q19" s="31">
        <f t="shared" si="5"/>
        <v>30</v>
      </c>
      <c r="R19" s="31" t="str">
        <f t="shared" si="6"/>
        <v/>
      </c>
      <c r="S19" s="1" t="str">
        <f t="shared" si="7"/>
        <v/>
      </c>
      <c r="T19" s="1" t="str">
        <f t="shared" si="8"/>
        <v/>
      </c>
    </row>
    <row r="20" spans="2:24">
      <c r="B20" s="28">
        <f t="shared" si="0"/>
        <v>19</v>
      </c>
      <c r="C20" s="29" t="s">
        <v>76</v>
      </c>
      <c r="D20" s="29" t="s">
        <v>77</v>
      </c>
      <c r="E20" s="29" t="s">
        <v>52</v>
      </c>
      <c r="F20" s="29"/>
      <c r="G20" s="30">
        <v>1973</v>
      </c>
      <c r="H20" s="29" t="s">
        <v>78</v>
      </c>
      <c r="I20" s="30">
        <v>10</v>
      </c>
      <c r="J20" s="30">
        <v>9</v>
      </c>
      <c r="K20" s="30">
        <v>7</v>
      </c>
      <c r="L20" s="30">
        <v>4</v>
      </c>
      <c r="M20" s="29">
        <f t="shared" si="1"/>
        <v>30</v>
      </c>
      <c r="N20" s="31">
        <f t="shared" si="2"/>
        <v>1</v>
      </c>
      <c r="O20" s="31">
        <f t="shared" si="3"/>
        <v>31</v>
      </c>
      <c r="P20" s="31" t="str">
        <f t="shared" si="4"/>
        <v>Toán</v>
      </c>
      <c r="Q20" s="31">
        <f t="shared" si="5"/>
        <v>30</v>
      </c>
      <c r="R20" s="31" t="str">
        <f t="shared" si="6"/>
        <v>Đạt</v>
      </c>
      <c r="S20" s="1" t="str">
        <f t="shared" si="7"/>
        <v/>
      </c>
      <c r="T20" s="1" t="str">
        <f t="shared" si="8"/>
        <v>x</v>
      </c>
    </row>
    <row r="21" spans="2:24">
      <c r="B21" s="28">
        <f t="shared" si="0"/>
        <v>20</v>
      </c>
      <c r="C21" s="29" t="s">
        <v>107</v>
      </c>
      <c r="D21" s="29" t="s">
        <v>108</v>
      </c>
      <c r="E21" s="29" t="s">
        <v>109</v>
      </c>
      <c r="F21" s="29"/>
      <c r="G21" s="30">
        <v>1986</v>
      </c>
      <c r="H21" s="29" t="s">
        <v>69</v>
      </c>
      <c r="I21" s="30">
        <v>6</v>
      </c>
      <c r="J21" s="30">
        <v>10</v>
      </c>
      <c r="K21" s="30">
        <v>9</v>
      </c>
      <c r="L21" s="30">
        <v>8</v>
      </c>
      <c r="M21" s="29">
        <f t="shared" si="1"/>
        <v>33</v>
      </c>
      <c r="N21" s="31">
        <f t="shared" si="2"/>
        <v>1.5</v>
      </c>
      <c r="O21" s="31">
        <f t="shared" si="3"/>
        <v>34.5</v>
      </c>
      <c r="P21" s="31" t="str">
        <f t="shared" si="4"/>
        <v>Toán</v>
      </c>
      <c r="Q21" s="31">
        <f t="shared" si="5"/>
        <v>30</v>
      </c>
      <c r="R21" s="31" t="str">
        <f t="shared" si="6"/>
        <v>Đạt</v>
      </c>
      <c r="S21" s="1" t="str">
        <f t="shared" si="7"/>
        <v/>
      </c>
      <c r="T21" s="1" t="str">
        <f t="shared" si="8"/>
        <v/>
      </c>
    </row>
    <row r="23" spans="2:24">
      <c r="U23" s="31" t="s">
        <v>129</v>
      </c>
      <c r="V23" s="31" t="s">
        <v>130</v>
      </c>
      <c r="W23" s="31" t="s">
        <v>131</v>
      </c>
      <c r="X23" s="31" t="s">
        <v>132</v>
      </c>
    </row>
    <row r="24" spans="2:24">
      <c r="U24" s="31" t="s">
        <v>133</v>
      </c>
      <c r="V24" s="31">
        <f>COUNTIF($R$2:$R$21,"Đạt")</f>
        <v>10</v>
      </c>
      <c r="W24" s="31">
        <f>COUNTIF($R$2:$R$21,"Đạt")</f>
        <v>10</v>
      </c>
      <c r="X24" s="31">
        <f>SUM(V24:W24)</f>
        <v>20</v>
      </c>
    </row>
    <row r="25" spans="2:24">
      <c r="U25" s="31" t="s">
        <v>134</v>
      </c>
      <c r="V25" s="32">
        <f>(V24/X24)</f>
        <v>0.5</v>
      </c>
      <c r="W25" s="32">
        <f>(W24/X24)</f>
        <v>0.5</v>
      </c>
      <c r="X25" s="33">
        <f>SUM(V25:W25)</f>
        <v>1</v>
      </c>
    </row>
  </sheetData>
  <sortState xmlns:xlrd2="http://schemas.microsoft.com/office/spreadsheetml/2017/richdata2" ref="B2:T21">
    <sortCondition ref="E2:E21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84F89-8F29-4302-8642-0E2222D81904}">
  <dimension ref="A2:Q32"/>
  <sheetViews>
    <sheetView topLeftCell="A16" zoomScale="85" zoomScaleNormal="85" workbookViewId="0">
      <selection activeCell="B27" sqref="B27:B32"/>
    </sheetView>
  </sheetViews>
  <sheetFormatPr defaultRowHeight="14.4"/>
  <cols>
    <col min="2" max="2" width="14.88671875" customWidth="1"/>
    <col min="3" max="3" width="13" customWidth="1"/>
    <col min="4" max="4" width="15.5546875" customWidth="1"/>
    <col min="5" max="5" width="16.33203125" customWidth="1"/>
    <col min="6" max="6" width="9.6640625" customWidth="1"/>
    <col min="7" max="7" width="18.5546875" customWidth="1"/>
    <col min="8" max="8" width="12.109375" customWidth="1"/>
    <col min="9" max="9" width="13.44140625" customWidth="1"/>
    <col min="10" max="10" width="20.109375" customWidth="1"/>
    <col min="11" max="11" width="11.44140625" customWidth="1"/>
    <col min="12" max="12" width="18.6640625" customWidth="1"/>
    <col min="13" max="13" width="13" customWidth="1"/>
    <col min="14" max="14" width="18.44140625" customWidth="1"/>
    <col min="15" max="16" width="11.44140625" bestFit="1" customWidth="1"/>
    <col min="17" max="17" width="12" bestFit="1" customWidth="1"/>
  </cols>
  <sheetData>
    <row r="2" spans="2:17">
      <c r="J2" s="41" t="s">
        <v>156</v>
      </c>
      <c r="K2" s="42">
        <v>24</v>
      </c>
    </row>
    <row r="4" spans="2:17">
      <c r="B4" s="27" t="s">
        <v>128</v>
      </c>
      <c r="C4" s="27" t="s">
        <v>135</v>
      </c>
      <c r="D4" s="27" t="s">
        <v>45</v>
      </c>
      <c r="E4" s="27" t="s">
        <v>46</v>
      </c>
      <c r="F4" s="27" t="s">
        <v>47</v>
      </c>
      <c r="G4" s="27" t="s">
        <v>48</v>
      </c>
      <c r="H4" s="27" t="s">
        <v>49</v>
      </c>
      <c r="I4" s="27" t="s">
        <v>136</v>
      </c>
      <c r="J4" s="27" t="s">
        <v>137</v>
      </c>
      <c r="K4" s="27" t="s">
        <v>138</v>
      </c>
      <c r="L4" s="27" t="s">
        <v>139</v>
      </c>
      <c r="M4" s="27" t="s">
        <v>140</v>
      </c>
      <c r="N4" s="27" t="s">
        <v>141</v>
      </c>
      <c r="O4" s="27" t="s">
        <v>153</v>
      </c>
      <c r="P4" s="27" t="s">
        <v>154</v>
      </c>
      <c r="Q4" s="27" t="s">
        <v>155</v>
      </c>
    </row>
    <row r="5" spans="2:17">
      <c r="B5" s="37">
        <f t="shared" ref="B5:B19" si="0">ROW(A2)-1</f>
        <v>1</v>
      </c>
      <c r="C5" s="29" t="s">
        <v>50</v>
      </c>
      <c r="D5" s="29" t="s">
        <v>51</v>
      </c>
      <c r="E5" s="29" t="s">
        <v>52</v>
      </c>
      <c r="F5" s="29"/>
      <c r="G5" s="30">
        <v>1973</v>
      </c>
      <c r="H5" s="29" t="s">
        <v>53</v>
      </c>
      <c r="I5" s="36">
        <v>35462</v>
      </c>
      <c r="J5" s="31">
        <v>20</v>
      </c>
      <c r="K5" s="31">
        <f t="shared" ref="K5:K19" si="1">IF(LEFT(C5,1)="A",330,IF(LEFT(C5,1)="B",310,IF(LEFT(C5,1)="C",290,275)))</f>
        <v>330</v>
      </c>
      <c r="L5" s="31" t="str">
        <f t="shared" ref="L5:L19" si="2">IF(RIGHT(C5,1)="1","Kỹ thuật",IF(RIGHT(C5,1)="2","Kế toán","Kế hoạch"))</f>
        <v>Kỹ thuật</v>
      </c>
      <c r="M5" s="31">
        <f>DATEDIF(I5,C21,"y")</f>
        <v>26</v>
      </c>
      <c r="N5" s="31">
        <f t="shared" ref="N5:N19" si="3">M5*2000</f>
        <v>52000</v>
      </c>
      <c r="O5" s="1">
        <f>IF(J5&lt;=K2,J5*K5*1000)</f>
        <v>6600000</v>
      </c>
      <c r="P5" s="1">
        <f t="shared" ref="P5:P19" si="4">INT(O5/3)</f>
        <v>2200000</v>
      </c>
      <c r="Q5" s="3">
        <f t="shared" ref="Q5:Q19" si="5">(O5+N5)-P6</f>
        <v>-1916588000</v>
      </c>
    </row>
    <row r="6" spans="2:17">
      <c r="B6" s="37">
        <f t="shared" si="0"/>
        <v>2</v>
      </c>
      <c r="C6" s="29" t="s">
        <v>54</v>
      </c>
      <c r="D6" s="29" t="s">
        <v>55</v>
      </c>
      <c r="E6" s="29" t="s">
        <v>56</v>
      </c>
      <c r="F6" s="29" t="s">
        <v>20</v>
      </c>
      <c r="G6" s="30">
        <v>1974</v>
      </c>
      <c r="H6" s="29" t="s">
        <v>57</v>
      </c>
      <c r="I6" s="38" t="s">
        <v>142</v>
      </c>
      <c r="J6" s="31">
        <v>25</v>
      </c>
      <c r="K6" s="31">
        <f t="shared" si="1"/>
        <v>310</v>
      </c>
      <c r="L6" s="31" t="str">
        <f t="shared" si="2"/>
        <v>Kế toán</v>
      </c>
      <c r="M6" s="31">
        <f>DATEDIF(I6,C21,"y")</f>
        <v>25</v>
      </c>
      <c r="N6" s="31">
        <f t="shared" si="3"/>
        <v>50000</v>
      </c>
      <c r="O6" s="1">
        <f>IF(J6&gt;K2,(DATEDIF(I6,C21,"d")*2+24)*K6*1000)</f>
        <v>5769720000</v>
      </c>
      <c r="P6" s="3">
        <f t="shared" si="4"/>
        <v>1923240000</v>
      </c>
      <c r="Q6" s="3">
        <f t="shared" si="5"/>
        <v>5767450000</v>
      </c>
    </row>
    <row r="7" spans="2:17">
      <c r="B7" s="37">
        <f t="shared" si="0"/>
        <v>3</v>
      </c>
      <c r="C7" s="29" t="s">
        <v>58</v>
      </c>
      <c r="D7" s="29" t="s">
        <v>59</v>
      </c>
      <c r="E7" s="29" t="s">
        <v>60</v>
      </c>
      <c r="F7" s="29"/>
      <c r="G7" s="30">
        <v>1975</v>
      </c>
      <c r="H7" s="29" t="s">
        <v>61</v>
      </c>
      <c r="I7" s="38" t="s">
        <v>143</v>
      </c>
      <c r="J7" s="31">
        <v>24</v>
      </c>
      <c r="K7" s="31">
        <f t="shared" si="1"/>
        <v>290</v>
      </c>
      <c r="L7" s="31" t="str">
        <f t="shared" si="2"/>
        <v>Kỹ thuật</v>
      </c>
      <c r="M7" s="31">
        <f>DATEDIF(I7,C21,"y")</f>
        <v>25</v>
      </c>
      <c r="N7" s="31">
        <f t="shared" si="3"/>
        <v>50000</v>
      </c>
      <c r="O7" s="1">
        <f>IF(J7&lt;=K2,J7*K7*1000)</f>
        <v>6960000</v>
      </c>
      <c r="P7" s="1">
        <f t="shared" si="4"/>
        <v>2320000</v>
      </c>
      <c r="Q7" s="3">
        <f t="shared" si="5"/>
        <v>4530000</v>
      </c>
    </row>
    <row r="8" spans="2:17">
      <c r="B8" s="37">
        <f t="shared" si="0"/>
        <v>4</v>
      </c>
      <c r="C8" s="29" t="s">
        <v>62</v>
      </c>
      <c r="D8" s="29" t="s">
        <v>63</v>
      </c>
      <c r="E8" s="29" t="s">
        <v>64</v>
      </c>
      <c r="F8" s="29" t="s">
        <v>20</v>
      </c>
      <c r="G8" s="30">
        <v>1969</v>
      </c>
      <c r="H8" s="29" t="s">
        <v>65</v>
      </c>
      <c r="I8" s="38" t="s">
        <v>144</v>
      </c>
      <c r="J8" s="31">
        <v>24</v>
      </c>
      <c r="K8" s="31">
        <f t="shared" si="1"/>
        <v>310</v>
      </c>
      <c r="L8" s="31" t="str">
        <f t="shared" si="2"/>
        <v>Kế hoạch</v>
      </c>
      <c r="M8" s="31">
        <f>DATEDIF(I8,C21,"y")</f>
        <v>29</v>
      </c>
      <c r="N8" s="31">
        <f t="shared" si="3"/>
        <v>58000</v>
      </c>
      <c r="O8" s="1">
        <f>IF(J8&lt;=K2,J8*K8*1000)</f>
        <v>7440000</v>
      </c>
      <c r="P8" s="1">
        <f t="shared" si="4"/>
        <v>2480000</v>
      </c>
      <c r="Q8" s="3">
        <f t="shared" si="5"/>
        <v>-1908095333</v>
      </c>
    </row>
    <row r="9" spans="2:17">
      <c r="B9" s="37">
        <f t="shared" si="0"/>
        <v>5</v>
      </c>
      <c r="C9" s="29" t="s">
        <v>66</v>
      </c>
      <c r="D9" s="29" t="s">
        <v>67</v>
      </c>
      <c r="E9" s="29" t="s">
        <v>68</v>
      </c>
      <c r="F9" s="29"/>
      <c r="G9" s="30">
        <v>1972</v>
      </c>
      <c r="H9" s="29" t="s">
        <v>69</v>
      </c>
      <c r="I9" s="38" t="s">
        <v>146</v>
      </c>
      <c r="J9" s="31">
        <v>25</v>
      </c>
      <c r="K9" s="31">
        <f t="shared" si="1"/>
        <v>310</v>
      </c>
      <c r="L9" s="31" t="str">
        <f t="shared" si="2"/>
        <v>Kỹ thuật</v>
      </c>
      <c r="M9" s="31">
        <f>DATEDIF(I9,C21,"y")</f>
        <v>25</v>
      </c>
      <c r="N9" s="31">
        <f t="shared" si="3"/>
        <v>50000</v>
      </c>
      <c r="O9" s="1">
        <f>IF(J9&gt;K2,(DATEDIF(I9,C21,"d")*2+24)*K9*1000)</f>
        <v>5746780000</v>
      </c>
      <c r="P9" s="1">
        <f t="shared" si="4"/>
        <v>1915593333</v>
      </c>
      <c r="Q9" s="3">
        <f t="shared" si="5"/>
        <v>5744316667</v>
      </c>
    </row>
    <row r="10" spans="2:17">
      <c r="B10" s="37">
        <f t="shared" si="0"/>
        <v>6</v>
      </c>
      <c r="C10" s="29" t="s">
        <v>70</v>
      </c>
      <c r="D10" s="29" t="s">
        <v>71</v>
      </c>
      <c r="E10" s="29" t="s">
        <v>72</v>
      </c>
      <c r="F10" s="29"/>
      <c r="G10" s="30">
        <v>1980</v>
      </c>
      <c r="H10" s="29" t="s">
        <v>53</v>
      </c>
      <c r="I10" s="36">
        <v>34608</v>
      </c>
      <c r="J10" s="31">
        <v>26</v>
      </c>
      <c r="K10" s="31">
        <f t="shared" si="1"/>
        <v>290</v>
      </c>
      <c r="L10" s="31" t="str">
        <f t="shared" si="2"/>
        <v>Kỹ thuật</v>
      </c>
      <c r="M10" s="31">
        <f>DATEDIF(I10,C21,"y")</f>
        <v>29</v>
      </c>
      <c r="N10" s="31">
        <f t="shared" si="3"/>
        <v>58000</v>
      </c>
      <c r="O10" s="1">
        <f>IF(J10&lt;=K7,J10*K10*1000)</f>
        <v>7540000</v>
      </c>
      <c r="P10" s="1">
        <f t="shared" si="4"/>
        <v>2513333</v>
      </c>
      <c r="Q10" s="3">
        <f t="shared" si="5"/>
        <v>5764667</v>
      </c>
    </row>
    <row r="11" spans="2:17">
      <c r="B11" s="37">
        <f t="shared" si="0"/>
        <v>7</v>
      </c>
      <c r="C11" s="29" t="s">
        <v>73</v>
      </c>
      <c r="D11" s="29" t="s">
        <v>74</v>
      </c>
      <c r="E11" s="29" t="s">
        <v>75</v>
      </c>
      <c r="F11" s="29" t="s">
        <v>20</v>
      </c>
      <c r="G11" s="30">
        <v>1977</v>
      </c>
      <c r="H11" s="29" t="s">
        <v>57</v>
      </c>
      <c r="I11" s="38" t="s">
        <v>145</v>
      </c>
      <c r="J11" s="31">
        <v>20</v>
      </c>
      <c r="K11" s="31">
        <f t="shared" si="1"/>
        <v>275</v>
      </c>
      <c r="L11" s="31" t="str">
        <f t="shared" si="2"/>
        <v>Kế toán</v>
      </c>
      <c r="M11" s="31">
        <f>DATEDIF(I11,C21,"y")</f>
        <v>28</v>
      </c>
      <c r="N11" s="31">
        <f t="shared" si="3"/>
        <v>56000</v>
      </c>
      <c r="O11" s="1">
        <f>IF(J11&lt;=K2,J11*K11*1000)</f>
        <v>5500000</v>
      </c>
      <c r="P11" s="1">
        <f t="shared" si="4"/>
        <v>1833333</v>
      </c>
      <c r="Q11" s="3">
        <f t="shared" si="5"/>
        <v>3136000</v>
      </c>
    </row>
    <row r="12" spans="2:17">
      <c r="B12" s="37">
        <f t="shared" si="0"/>
        <v>8</v>
      </c>
      <c r="C12" s="29" t="s">
        <v>76</v>
      </c>
      <c r="D12" s="29" t="s">
        <v>77</v>
      </c>
      <c r="E12" s="29" t="s">
        <v>52</v>
      </c>
      <c r="F12" s="29"/>
      <c r="G12" s="30">
        <v>1973</v>
      </c>
      <c r="H12" s="29" t="s">
        <v>78</v>
      </c>
      <c r="I12" s="36">
        <v>35192</v>
      </c>
      <c r="J12" s="31">
        <v>22</v>
      </c>
      <c r="K12" s="31">
        <f t="shared" si="1"/>
        <v>330</v>
      </c>
      <c r="L12" s="31" t="str">
        <f t="shared" si="2"/>
        <v>Kế hoạch</v>
      </c>
      <c r="M12" s="31">
        <f>DATEDIF(I12,C21,"y")</f>
        <v>27</v>
      </c>
      <c r="N12" s="31">
        <f t="shared" si="3"/>
        <v>54000</v>
      </c>
      <c r="O12" s="1">
        <f>IF(J12&lt;=K9,J12*K12*1000)</f>
        <v>7260000</v>
      </c>
      <c r="P12" s="1">
        <f t="shared" si="4"/>
        <v>2420000</v>
      </c>
      <c r="Q12" s="3">
        <f t="shared" si="5"/>
        <v>4994000</v>
      </c>
    </row>
    <row r="13" spans="2:17">
      <c r="B13" s="37">
        <f t="shared" si="0"/>
        <v>9</v>
      </c>
      <c r="C13" s="29" t="s">
        <v>79</v>
      </c>
      <c r="D13" s="29" t="s">
        <v>80</v>
      </c>
      <c r="E13" s="29" t="s">
        <v>81</v>
      </c>
      <c r="F13" s="29" t="s">
        <v>20</v>
      </c>
      <c r="G13" s="30">
        <v>1975</v>
      </c>
      <c r="H13" s="29" t="s">
        <v>82</v>
      </c>
      <c r="I13" s="36">
        <v>35591</v>
      </c>
      <c r="J13" s="31">
        <v>24</v>
      </c>
      <c r="K13" s="31">
        <f t="shared" si="1"/>
        <v>290</v>
      </c>
      <c r="L13" s="31" t="str">
        <f t="shared" si="2"/>
        <v>Kế toán</v>
      </c>
      <c r="M13" s="31">
        <f>DATEDIF(I13,C21,"y")</f>
        <v>26</v>
      </c>
      <c r="N13" s="31">
        <f t="shared" si="3"/>
        <v>52000</v>
      </c>
      <c r="O13" s="1">
        <f>IF(J13&lt;=K2,J13*K13*1000)</f>
        <v>6960000</v>
      </c>
      <c r="P13" s="1">
        <f t="shared" si="4"/>
        <v>2320000</v>
      </c>
      <c r="Q13" s="3">
        <f t="shared" si="5"/>
        <v>4812000</v>
      </c>
    </row>
    <row r="14" spans="2:17">
      <c r="B14" s="37">
        <f t="shared" si="0"/>
        <v>10</v>
      </c>
      <c r="C14" s="29" t="s">
        <v>83</v>
      </c>
      <c r="D14" s="29" t="s">
        <v>84</v>
      </c>
      <c r="E14" s="29" t="s">
        <v>72</v>
      </c>
      <c r="F14" s="29"/>
      <c r="G14" s="30">
        <v>1970</v>
      </c>
      <c r="H14" s="29" t="s">
        <v>85</v>
      </c>
      <c r="I14" s="38" t="s">
        <v>147</v>
      </c>
      <c r="J14" s="31">
        <v>24</v>
      </c>
      <c r="K14" s="31">
        <f t="shared" si="1"/>
        <v>275</v>
      </c>
      <c r="L14" s="31" t="str">
        <f t="shared" si="2"/>
        <v>Kế hoạch</v>
      </c>
      <c r="M14" s="31">
        <f>DATEDIF(I14,C21,"y")</f>
        <v>25</v>
      </c>
      <c r="N14" s="31">
        <f t="shared" si="3"/>
        <v>50000</v>
      </c>
      <c r="O14" s="1">
        <f>IF(J14&lt;=K2,J14*K14*1000)</f>
        <v>6600000</v>
      </c>
      <c r="P14" s="1">
        <f t="shared" si="4"/>
        <v>2200000</v>
      </c>
      <c r="Q14" s="3">
        <f t="shared" si="5"/>
        <v>-1916590000</v>
      </c>
    </row>
    <row r="15" spans="2:17">
      <c r="B15" s="37">
        <f t="shared" si="0"/>
        <v>11</v>
      </c>
      <c r="C15" s="29" t="s">
        <v>86</v>
      </c>
      <c r="D15" s="29" t="s">
        <v>87</v>
      </c>
      <c r="E15" s="29" t="s">
        <v>88</v>
      </c>
      <c r="F15" s="29" t="s">
        <v>20</v>
      </c>
      <c r="G15" s="30">
        <v>1986</v>
      </c>
      <c r="H15" s="29" t="s">
        <v>69</v>
      </c>
      <c r="I15" s="38" t="s">
        <v>148</v>
      </c>
      <c r="J15" s="31">
        <v>25</v>
      </c>
      <c r="K15" s="31">
        <f t="shared" si="1"/>
        <v>290</v>
      </c>
      <c r="L15" s="31" t="str">
        <f t="shared" si="2"/>
        <v>Kỹ thuật</v>
      </c>
      <c r="M15" s="31">
        <f>DATEDIF(I15,C21,"y")</f>
        <v>27</v>
      </c>
      <c r="N15" s="31">
        <f t="shared" si="3"/>
        <v>54000</v>
      </c>
      <c r="O15" s="1">
        <f>IF(J6&gt;K2,(DATEDIF(I6,C21,"d")*2+24)*K6*1000)</f>
        <v>5769720000</v>
      </c>
      <c r="P15" s="1">
        <f t="shared" si="4"/>
        <v>1923240000</v>
      </c>
      <c r="Q15" s="3">
        <f t="shared" si="5"/>
        <v>5767294000</v>
      </c>
    </row>
    <row r="16" spans="2:17">
      <c r="B16" s="37">
        <f t="shared" si="0"/>
        <v>12</v>
      </c>
      <c r="C16" s="29" t="s">
        <v>89</v>
      </c>
      <c r="D16" s="29" t="s">
        <v>90</v>
      </c>
      <c r="E16" s="29" t="s">
        <v>91</v>
      </c>
      <c r="F16" s="29" t="s">
        <v>20</v>
      </c>
      <c r="G16" s="30">
        <v>1982</v>
      </c>
      <c r="H16" s="29" t="s">
        <v>92</v>
      </c>
      <c r="I16" s="36">
        <v>34246</v>
      </c>
      <c r="J16" s="31">
        <v>24</v>
      </c>
      <c r="K16" s="31">
        <f t="shared" si="1"/>
        <v>310</v>
      </c>
      <c r="L16" s="31" t="str">
        <f t="shared" si="2"/>
        <v>Kế toán</v>
      </c>
      <c r="M16" s="31">
        <f>DATEDIF(I16,C21,"y")</f>
        <v>30</v>
      </c>
      <c r="N16" s="31">
        <f t="shared" si="3"/>
        <v>60000</v>
      </c>
      <c r="O16" s="1">
        <f>IF(J16&lt;=K2,J16*K16*1000)</f>
        <v>7440000</v>
      </c>
      <c r="P16" s="1">
        <f t="shared" si="4"/>
        <v>2480000</v>
      </c>
      <c r="Q16" s="3">
        <f t="shared" si="5"/>
        <v>-2355300000</v>
      </c>
    </row>
    <row r="17" spans="1:17">
      <c r="A17" s="34"/>
      <c r="B17" s="37">
        <f t="shared" si="0"/>
        <v>13</v>
      </c>
      <c r="C17" s="29" t="s">
        <v>93</v>
      </c>
      <c r="D17" s="29" t="s">
        <v>94</v>
      </c>
      <c r="E17" s="29" t="s">
        <v>95</v>
      </c>
      <c r="F17" s="29" t="s">
        <v>20</v>
      </c>
      <c r="G17" s="30">
        <v>1985</v>
      </c>
      <c r="H17" s="29" t="s">
        <v>53</v>
      </c>
      <c r="I17" s="38" t="s">
        <v>149</v>
      </c>
      <c r="J17" s="31">
        <v>25</v>
      </c>
      <c r="K17" s="31">
        <f t="shared" si="1"/>
        <v>330</v>
      </c>
      <c r="L17" s="31" t="str">
        <f t="shared" si="2"/>
        <v>Kỹ thuật</v>
      </c>
      <c r="M17" s="31">
        <f>DATEDIF(I17,C21,"y")</f>
        <v>29</v>
      </c>
      <c r="N17" s="31">
        <f t="shared" si="3"/>
        <v>58000</v>
      </c>
      <c r="O17" s="1">
        <f>IF(J17&gt;K2,(DATEDIF(I17,C21,"d")*2+24)*K17*1000)</f>
        <v>7088400000</v>
      </c>
      <c r="P17" s="1">
        <f t="shared" si="4"/>
        <v>2362800000</v>
      </c>
      <c r="Q17" s="3">
        <f t="shared" si="5"/>
        <v>4969091334</v>
      </c>
    </row>
    <row r="18" spans="1:17">
      <c r="A18" s="34"/>
      <c r="B18" s="37">
        <f t="shared" si="0"/>
        <v>14</v>
      </c>
      <c r="C18" s="29" t="s">
        <v>96</v>
      </c>
      <c r="D18" s="29" t="s">
        <v>97</v>
      </c>
      <c r="E18" s="29" t="s">
        <v>91</v>
      </c>
      <c r="F18" s="29"/>
      <c r="G18" s="30">
        <v>1984</v>
      </c>
      <c r="H18" s="29" t="s">
        <v>57</v>
      </c>
      <c r="I18" s="38" t="s">
        <v>150</v>
      </c>
      <c r="J18" s="31">
        <v>26</v>
      </c>
      <c r="K18" s="31">
        <f t="shared" si="1"/>
        <v>310</v>
      </c>
      <c r="L18" s="31" t="str">
        <f t="shared" si="2"/>
        <v>Kế toán</v>
      </c>
      <c r="M18" s="31">
        <f>DATEDIF(I18,C21,"y")</f>
        <v>28</v>
      </c>
      <c r="N18" s="31">
        <f t="shared" si="3"/>
        <v>56000</v>
      </c>
      <c r="O18" s="1">
        <f>IF(J18&gt;K2,(DATEDIF(I18,C21,"d")*2+24)*K18*1000)</f>
        <v>6358100000</v>
      </c>
      <c r="P18" s="1">
        <f t="shared" si="4"/>
        <v>2119366666</v>
      </c>
      <c r="Q18" s="3">
        <f t="shared" si="5"/>
        <v>4618689334</v>
      </c>
    </row>
    <row r="19" spans="1:17">
      <c r="A19" s="34"/>
      <c r="B19" s="37">
        <f t="shared" si="0"/>
        <v>15</v>
      </c>
      <c r="C19" s="29" t="s">
        <v>98</v>
      </c>
      <c r="D19" s="29" t="s">
        <v>99</v>
      </c>
      <c r="E19" s="29" t="s">
        <v>88</v>
      </c>
      <c r="F19" s="29" t="s">
        <v>20</v>
      </c>
      <c r="G19" s="30">
        <v>1982</v>
      </c>
      <c r="H19" s="29" t="s">
        <v>100</v>
      </c>
      <c r="I19" s="38" t="s">
        <v>151</v>
      </c>
      <c r="J19" s="31">
        <v>28</v>
      </c>
      <c r="K19" s="31">
        <f t="shared" si="1"/>
        <v>275</v>
      </c>
      <c r="L19" s="31" t="str">
        <f t="shared" si="2"/>
        <v>Kế hoạch</v>
      </c>
      <c r="M19" s="31">
        <f>DATEDIF(I19,C21,"y")</f>
        <v>25</v>
      </c>
      <c r="N19" s="31">
        <f t="shared" si="3"/>
        <v>50000</v>
      </c>
      <c r="O19" s="1">
        <f>IF(J19&gt;K2,(DATEDIF(I19,C21,"d")*2+24)*K19*1000)</f>
        <v>5218400000</v>
      </c>
      <c r="P19" s="1">
        <f t="shared" si="4"/>
        <v>1739466666</v>
      </c>
      <c r="Q19" s="3">
        <f t="shared" si="5"/>
        <v>5218450000</v>
      </c>
    </row>
    <row r="20" spans="1:17">
      <c r="A20" s="34"/>
      <c r="B20" s="34"/>
      <c r="C20" s="34"/>
      <c r="D20" s="34"/>
      <c r="E20" s="35"/>
      <c r="F20" s="34"/>
    </row>
    <row r="21" spans="1:17">
      <c r="A21" s="34"/>
      <c r="B21" s="39" t="s">
        <v>152</v>
      </c>
      <c r="C21" s="40">
        <v>45229</v>
      </c>
      <c r="D21" s="34"/>
    </row>
    <row r="23" spans="1:17">
      <c r="B23" s="45" t="s">
        <v>158</v>
      </c>
    </row>
    <row r="26" spans="1:17">
      <c r="B26" s="27" t="s">
        <v>128</v>
      </c>
      <c r="C26" s="27" t="s">
        <v>135</v>
      </c>
      <c r="D26" s="27" t="s">
        <v>45</v>
      </c>
      <c r="E26" s="27" t="s">
        <v>46</v>
      </c>
      <c r="F26" s="27" t="s">
        <v>47</v>
      </c>
      <c r="G26" s="27" t="s">
        <v>48</v>
      </c>
      <c r="H26" s="27" t="s">
        <v>49</v>
      </c>
      <c r="I26" s="27" t="s">
        <v>136</v>
      </c>
      <c r="J26" s="27" t="s">
        <v>137</v>
      </c>
      <c r="K26" s="27" t="s">
        <v>138</v>
      </c>
      <c r="L26" s="27" t="s">
        <v>139</v>
      </c>
      <c r="M26" s="27" t="s">
        <v>140</v>
      </c>
      <c r="N26" s="27" t="s">
        <v>141</v>
      </c>
      <c r="O26" s="27" t="s">
        <v>153</v>
      </c>
      <c r="P26" s="27" t="s">
        <v>154</v>
      </c>
      <c r="Q26" s="27" t="s">
        <v>155</v>
      </c>
    </row>
    <row r="27" spans="1:17">
      <c r="B27" s="44">
        <v>1</v>
      </c>
      <c r="C27" s="29" t="s">
        <v>50</v>
      </c>
      <c r="D27" s="29" t="s">
        <v>51</v>
      </c>
      <c r="E27" s="29" t="s">
        <v>52</v>
      </c>
      <c r="F27" s="29"/>
      <c r="G27" s="30">
        <v>1973</v>
      </c>
      <c r="H27" s="29" t="s">
        <v>53</v>
      </c>
      <c r="I27" s="36">
        <v>35462</v>
      </c>
      <c r="J27" s="31">
        <v>20</v>
      </c>
      <c r="K27" s="31">
        <v>330</v>
      </c>
      <c r="L27" s="31" t="s">
        <v>157</v>
      </c>
      <c r="M27" s="31">
        <v>26</v>
      </c>
      <c r="N27" s="31">
        <v>52000</v>
      </c>
      <c r="O27" s="1">
        <v>6600000</v>
      </c>
      <c r="P27" s="1">
        <v>2200000</v>
      </c>
      <c r="Q27" s="3">
        <v>-1916588000</v>
      </c>
    </row>
    <row r="28" spans="1:17">
      <c r="B28" s="44">
        <v>3</v>
      </c>
      <c r="C28" s="29" t="s">
        <v>58</v>
      </c>
      <c r="D28" s="29" t="s">
        <v>59</v>
      </c>
      <c r="E28" s="29" t="s">
        <v>60</v>
      </c>
      <c r="F28" s="29"/>
      <c r="G28" s="30">
        <v>1975</v>
      </c>
      <c r="H28" s="29" t="s">
        <v>61</v>
      </c>
      <c r="I28" s="38" t="s">
        <v>143</v>
      </c>
      <c r="J28" s="31">
        <v>24</v>
      </c>
      <c r="K28" s="31">
        <v>290</v>
      </c>
      <c r="L28" s="31" t="s">
        <v>157</v>
      </c>
      <c r="M28" s="31">
        <v>25</v>
      </c>
      <c r="N28" s="31">
        <v>50000</v>
      </c>
      <c r="O28" s="1">
        <v>6960000</v>
      </c>
      <c r="P28" s="1">
        <v>2320000</v>
      </c>
      <c r="Q28" s="3">
        <v>4530000</v>
      </c>
    </row>
    <row r="29" spans="1:17">
      <c r="B29" s="44">
        <v>5</v>
      </c>
      <c r="C29" s="29" t="s">
        <v>66</v>
      </c>
      <c r="D29" s="29" t="s">
        <v>67</v>
      </c>
      <c r="E29" s="29" t="s">
        <v>68</v>
      </c>
      <c r="F29" s="29"/>
      <c r="G29" s="30">
        <v>1972</v>
      </c>
      <c r="H29" s="29" t="s">
        <v>69</v>
      </c>
      <c r="I29" s="38" t="s">
        <v>146</v>
      </c>
      <c r="J29" s="31">
        <v>25</v>
      </c>
      <c r="K29" s="31">
        <v>310</v>
      </c>
      <c r="L29" s="31" t="s">
        <v>157</v>
      </c>
      <c r="M29" s="31">
        <v>25</v>
      </c>
      <c r="N29" s="31">
        <v>50000</v>
      </c>
      <c r="O29" s="1">
        <v>5746780000</v>
      </c>
      <c r="P29" s="1">
        <v>1915593333</v>
      </c>
      <c r="Q29" s="3">
        <v>5744316667</v>
      </c>
    </row>
    <row r="30" spans="1:17">
      <c r="B30" s="44">
        <v>6</v>
      </c>
      <c r="C30" s="29" t="s">
        <v>70</v>
      </c>
      <c r="D30" s="29" t="s">
        <v>71</v>
      </c>
      <c r="E30" s="29" t="s">
        <v>72</v>
      </c>
      <c r="F30" s="29"/>
      <c r="G30" s="30">
        <v>1980</v>
      </c>
      <c r="H30" s="29" t="s">
        <v>53</v>
      </c>
      <c r="I30" s="36">
        <v>34608</v>
      </c>
      <c r="J30" s="31">
        <v>26</v>
      </c>
      <c r="K30" s="31">
        <v>290</v>
      </c>
      <c r="L30" s="31" t="s">
        <v>157</v>
      </c>
      <c r="M30" s="31">
        <v>29</v>
      </c>
      <c r="N30" s="31">
        <v>58000</v>
      </c>
      <c r="O30" s="1">
        <v>7540000</v>
      </c>
      <c r="P30" s="1">
        <v>2513333</v>
      </c>
      <c r="Q30" s="3">
        <v>5764667</v>
      </c>
    </row>
    <row r="31" spans="1:17">
      <c r="B31" s="44">
        <v>11</v>
      </c>
      <c r="C31" s="29" t="s">
        <v>86</v>
      </c>
      <c r="D31" s="29" t="s">
        <v>87</v>
      </c>
      <c r="E31" s="29" t="s">
        <v>88</v>
      </c>
      <c r="F31" s="29" t="s">
        <v>20</v>
      </c>
      <c r="G31" s="30">
        <v>1986</v>
      </c>
      <c r="H31" s="29" t="s">
        <v>69</v>
      </c>
      <c r="I31" s="38" t="s">
        <v>148</v>
      </c>
      <c r="J31" s="31">
        <v>25</v>
      </c>
      <c r="K31" s="31">
        <v>290</v>
      </c>
      <c r="L31" s="31" t="s">
        <v>157</v>
      </c>
      <c r="M31" s="31">
        <v>27</v>
      </c>
      <c r="N31" s="31">
        <v>54000</v>
      </c>
      <c r="O31" s="1">
        <v>5769720000</v>
      </c>
      <c r="P31" s="1">
        <v>1923240000</v>
      </c>
      <c r="Q31" s="3">
        <v>5767294000</v>
      </c>
    </row>
    <row r="32" spans="1:17">
      <c r="B32" s="44">
        <v>13</v>
      </c>
      <c r="C32" s="29" t="s">
        <v>93</v>
      </c>
      <c r="D32" s="29" t="s">
        <v>94</v>
      </c>
      <c r="E32" s="29" t="s">
        <v>95</v>
      </c>
      <c r="F32" s="29" t="s">
        <v>20</v>
      </c>
      <c r="G32" s="30">
        <v>1985</v>
      </c>
      <c r="H32" s="29" t="s">
        <v>53</v>
      </c>
      <c r="I32" s="38" t="s">
        <v>149</v>
      </c>
      <c r="J32" s="31">
        <v>25</v>
      </c>
      <c r="K32" s="31">
        <v>330</v>
      </c>
      <c r="L32" s="31" t="s">
        <v>157</v>
      </c>
      <c r="M32" s="31">
        <v>29</v>
      </c>
      <c r="N32" s="31">
        <v>58000</v>
      </c>
      <c r="O32" s="1">
        <v>7088400000</v>
      </c>
      <c r="P32" s="1">
        <v>2362800000</v>
      </c>
      <c r="Q32" s="3">
        <v>4969091334</v>
      </c>
    </row>
  </sheetData>
  <autoFilter ref="B4:Q19" xr:uid="{16D84F89-8F29-4302-8642-0E2222D81904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E5F60-2BEE-4898-A9F9-8EA295905224}">
  <dimension ref="A1:I24"/>
  <sheetViews>
    <sheetView topLeftCell="B17" workbookViewId="0">
      <selection activeCell="C15" sqref="C15:D16"/>
    </sheetView>
  </sheetViews>
  <sheetFormatPr defaultRowHeight="14.4"/>
  <cols>
    <col min="3" max="3" width="13.109375" customWidth="1"/>
    <col min="4" max="4" width="13.21875" customWidth="1"/>
    <col min="8" max="8" width="13.88671875" customWidth="1"/>
  </cols>
  <sheetData>
    <row r="1" spans="1:9">
      <c r="A1" s="46" t="s">
        <v>128</v>
      </c>
      <c r="B1" s="46" t="s">
        <v>159</v>
      </c>
      <c r="C1" s="46" t="s">
        <v>46</v>
      </c>
      <c r="D1" s="46" t="s">
        <v>160</v>
      </c>
      <c r="E1" s="46" t="s">
        <v>116</v>
      </c>
      <c r="F1" s="46" t="s">
        <v>118</v>
      </c>
      <c r="G1" s="46" t="s">
        <v>161</v>
      </c>
      <c r="H1" s="46" t="s">
        <v>162</v>
      </c>
      <c r="I1" s="46" t="s">
        <v>163</v>
      </c>
    </row>
    <row r="2" spans="1:9">
      <c r="A2" s="47">
        <v>1</v>
      </c>
      <c r="B2" s="48" t="s">
        <v>164</v>
      </c>
      <c r="C2" s="48" t="s">
        <v>165</v>
      </c>
      <c r="D2" s="49" t="s">
        <v>166</v>
      </c>
      <c r="E2" s="49">
        <v>4</v>
      </c>
      <c r="F2" s="49">
        <v>5</v>
      </c>
      <c r="G2" s="49">
        <v>4</v>
      </c>
      <c r="H2" s="1">
        <f>SUM(E2:G2)</f>
        <v>13</v>
      </c>
      <c r="I2" s="1" t="str">
        <f t="shared" ref="I2:I12" si="0">IF(AND(E2&gt;3,F2&gt;3,G2&gt;3,H2&gt;=IF(LEFT(D2,1)="A",18,IF(LEFT(D2,1)="B",17,16))),"Đậu","Hỏng")</f>
        <v>Hỏng</v>
      </c>
    </row>
    <row r="3" spans="1:9">
      <c r="A3" s="47">
        <v>2</v>
      </c>
      <c r="B3" s="48" t="s">
        <v>167</v>
      </c>
      <c r="C3" s="48" t="s">
        <v>168</v>
      </c>
      <c r="D3" s="49" t="s">
        <v>169</v>
      </c>
      <c r="E3" s="49">
        <v>3</v>
      </c>
      <c r="F3" s="49">
        <v>6</v>
      </c>
      <c r="G3" s="49">
        <v>6</v>
      </c>
      <c r="H3" s="1">
        <f t="shared" ref="H3:H12" si="1">SUM(E3:G3)</f>
        <v>15</v>
      </c>
      <c r="I3" s="1" t="str">
        <f t="shared" si="0"/>
        <v>Hỏng</v>
      </c>
    </row>
    <row r="4" spans="1:9">
      <c r="A4" s="47">
        <v>3</v>
      </c>
      <c r="B4" s="48" t="s">
        <v>170</v>
      </c>
      <c r="C4" s="48" t="s">
        <v>171</v>
      </c>
      <c r="D4" s="49" t="s">
        <v>172</v>
      </c>
      <c r="E4" s="49">
        <v>4.5</v>
      </c>
      <c r="F4" s="49">
        <v>4</v>
      </c>
      <c r="G4" s="49">
        <v>8</v>
      </c>
      <c r="H4" s="1">
        <f t="shared" si="1"/>
        <v>16.5</v>
      </c>
      <c r="I4" s="1" t="str">
        <f t="shared" si="0"/>
        <v>Đậu</v>
      </c>
    </row>
    <row r="5" spans="1:9">
      <c r="A5" s="47">
        <v>4</v>
      </c>
      <c r="B5" s="48" t="s">
        <v>173</v>
      </c>
      <c r="C5" s="48" t="s">
        <v>174</v>
      </c>
      <c r="D5" s="49" t="s">
        <v>175</v>
      </c>
      <c r="E5" s="49">
        <v>2.5</v>
      </c>
      <c r="F5" s="49">
        <v>8</v>
      </c>
      <c r="G5" s="49">
        <v>8</v>
      </c>
      <c r="H5" s="1">
        <f t="shared" si="1"/>
        <v>18.5</v>
      </c>
      <c r="I5" s="1" t="str">
        <f t="shared" si="0"/>
        <v>Hỏng</v>
      </c>
    </row>
    <row r="6" spans="1:9">
      <c r="A6" s="47">
        <v>5</v>
      </c>
      <c r="B6" s="48" t="s">
        <v>176</v>
      </c>
      <c r="C6" s="48" t="s">
        <v>177</v>
      </c>
      <c r="D6" s="49" t="s">
        <v>178</v>
      </c>
      <c r="E6" s="49">
        <v>4</v>
      </c>
      <c r="F6" s="49">
        <v>7</v>
      </c>
      <c r="G6" s="49">
        <v>8</v>
      </c>
      <c r="H6" s="1">
        <f t="shared" si="1"/>
        <v>19</v>
      </c>
      <c r="I6" s="1" t="str">
        <f t="shared" si="0"/>
        <v>Đậu</v>
      </c>
    </row>
    <row r="7" spans="1:9">
      <c r="A7" s="47">
        <v>6</v>
      </c>
      <c r="B7" s="48" t="s">
        <v>179</v>
      </c>
      <c r="C7" s="48" t="s">
        <v>180</v>
      </c>
      <c r="D7" s="49" t="s">
        <v>181</v>
      </c>
      <c r="E7" s="49">
        <v>2.5</v>
      </c>
      <c r="F7" s="49">
        <v>9</v>
      </c>
      <c r="G7" s="49">
        <v>8</v>
      </c>
      <c r="H7" s="1">
        <f t="shared" si="1"/>
        <v>19.5</v>
      </c>
      <c r="I7" s="1" t="str">
        <f t="shared" si="0"/>
        <v>Hỏng</v>
      </c>
    </row>
    <row r="8" spans="1:9">
      <c r="A8" s="47">
        <v>7</v>
      </c>
      <c r="B8" s="48" t="s">
        <v>182</v>
      </c>
      <c r="C8" s="48" t="s">
        <v>183</v>
      </c>
      <c r="D8" s="49" t="s">
        <v>184</v>
      </c>
      <c r="E8" s="49">
        <v>8</v>
      </c>
      <c r="F8" s="49">
        <v>6</v>
      </c>
      <c r="G8" s="49">
        <v>6</v>
      </c>
      <c r="H8" s="1">
        <f t="shared" si="1"/>
        <v>20</v>
      </c>
      <c r="I8" s="1" t="str">
        <f t="shared" si="0"/>
        <v>Đậu</v>
      </c>
    </row>
    <row r="9" spans="1:9">
      <c r="A9" s="47">
        <v>8</v>
      </c>
      <c r="B9" s="48" t="s">
        <v>185</v>
      </c>
      <c r="C9" s="48" t="s">
        <v>186</v>
      </c>
      <c r="D9" s="49" t="s">
        <v>187</v>
      </c>
      <c r="E9" s="49">
        <v>7</v>
      </c>
      <c r="F9" s="49">
        <v>7.5</v>
      </c>
      <c r="G9" s="49">
        <v>6</v>
      </c>
      <c r="H9" s="1">
        <f t="shared" si="1"/>
        <v>20.5</v>
      </c>
      <c r="I9" s="1" t="str">
        <f t="shared" si="0"/>
        <v>Đậu</v>
      </c>
    </row>
    <row r="10" spans="1:9">
      <c r="A10" s="47">
        <v>9</v>
      </c>
      <c r="B10" s="48" t="s">
        <v>188</v>
      </c>
      <c r="C10" s="48" t="s">
        <v>189</v>
      </c>
      <c r="D10" s="49" t="s">
        <v>190</v>
      </c>
      <c r="E10" s="49">
        <v>6</v>
      </c>
      <c r="F10" s="49">
        <v>8</v>
      </c>
      <c r="G10" s="49">
        <v>8</v>
      </c>
      <c r="H10" s="1">
        <f t="shared" si="1"/>
        <v>22</v>
      </c>
      <c r="I10" s="1" t="str">
        <f t="shared" si="0"/>
        <v>Đậu</v>
      </c>
    </row>
    <row r="11" spans="1:9">
      <c r="A11" s="47">
        <f>ROW(A13)-3</f>
        <v>10</v>
      </c>
      <c r="B11" s="48" t="s">
        <v>191</v>
      </c>
      <c r="C11" s="48" t="s">
        <v>192</v>
      </c>
      <c r="D11" s="49" t="s">
        <v>193</v>
      </c>
      <c r="E11" s="49">
        <v>8</v>
      </c>
      <c r="F11" s="49">
        <v>5</v>
      </c>
      <c r="G11" s="49">
        <v>9</v>
      </c>
      <c r="H11" s="1">
        <f t="shared" si="1"/>
        <v>22</v>
      </c>
      <c r="I11" s="1" t="str">
        <f t="shared" si="0"/>
        <v>Đậu</v>
      </c>
    </row>
    <row r="12" spans="1:9">
      <c r="A12" s="47">
        <f>ROW(A14)-3</f>
        <v>11</v>
      </c>
      <c r="B12" s="48" t="s">
        <v>194</v>
      </c>
      <c r="C12" s="48" t="s">
        <v>195</v>
      </c>
      <c r="D12" s="49" t="s">
        <v>196</v>
      </c>
      <c r="E12" s="49">
        <v>10</v>
      </c>
      <c r="F12" s="49">
        <v>9</v>
      </c>
      <c r="G12" s="49">
        <v>9</v>
      </c>
      <c r="H12" s="1">
        <f t="shared" si="1"/>
        <v>28</v>
      </c>
      <c r="I12" s="1" t="str">
        <f t="shared" si="0"/>
        <v>Đậu</v>
      </c>
    </row>
    <row r="14" spans="1:9">
      <c r="C14" s="50" t="s">
        <v>198</v>
      </c>
      <c r="D14" s="51"/>
    </row>
    <row r="15" spans="1:9">
      <c r="C15" s="52" t="s">
        <v>199</v>
      </c>
      <c r="D15" s="31">
        <f>COUNTIF(I2:I12,"Đậu")</f>
        <v>7</v>
      </c>
      <c r="G15" s="54" t="s">
        <v>201</v>
      </c>
      <c r="H15" s="54"/>
    </row>
    <row r="16" spans="1:9">
      <c r="C16" s="52" t="s">
        <v>200</v>
      </c>
      <c r="D16" s="31">
        <f>COUNTIF(I2:I12,"Hỏng")</f>
        <v>4</v>
      </c>
      <c r="G16" s="54" t="s">
        <v>202</v>
      </c>
      <c r="H16" s="54"/>
    </row>
    <row r="18" spans="1:9">
      <c r="C18" s="55" t="s">
        <v>203</v>
      </c>
      <c r="D18" s="53"/>
    </row>
    <row r="20" spans="1:9">
      <c r="A20" s="46" t="s">
        <v>128</v>
      </c>
      <c r="B20" s="46" t="s">
        <v>159</v>
      </c>
      <c r="C20" s="46" t="s">
        <v>46</v>
      </c>
      <c r="D20" s="46" t="s">
        <v>160</v>
      </c>
      <c r="E20" s="46" t="s">
        <v>116</v>
      </c>
      <c r="F20" s="46" t="s">
        <v>118</v>
      </c>
      <c r="G20" s="46" t="s">
        <v>161</v>
      </c>
      <c r="H20" s="46" t="s">
        <v>162</v>
      </c>
      <c r="I20" s="46" t="s">
        <v>163</v>
      </c>
    </row>
    <row r="21" spans="1:9">
      <c r="A21" s="47">
        <v>7</v>
      </c>
      <c r="B21" s="48" t="s">
        <v>182</v>
      </c>
      <c r="C21" s="48" t="s">
        <v>183</v>
      </c>
      <c r="D21" s="49" t="s">
        <v>184</v>
      </c>
      <c r="E21" s="49">
        <v>8</v>
      </c>
      <c r="F21" s="49">
        <v>6</v>
      </c>
      <c r="G21" s="49">
        <v>6</v>
      </c>
      <c r="H21" s="1">
        <v>20</v>
      </c>
      <c r="I21" s="1" t="s">
        <v>197</v>
      </c>
    </row>
    <row r="22" spans="1:9">
      <c r="A22" s="47">
        <v>8</v>
      </c>
      <c r="B22" s="48" t="s">
        <v>185</v>
      </c>
      <c r="C22" s="48" t="s">
        <v>186</v>
      </c>
      <c r="D22" s="49" t="s">
        <v>187</v>
      </c>
      <c r="E22" s="49">
        <v>7</v>
      </c>
      <c r="F22" s="49">
        <v>7.5</v>
      </c>
      <c r="G22" s="49">
        <v>6</v>
      </c>
      <c r="H22" s="1">
        <v>20.5</v>
      </c>
      <c r="I22" s="1" t="s">
        <v>197</v>
      </c>
    </row>
    <row r="23" spans="1:9">
      <c r="A23" s="47">
        <v>9</v>
      </c>
      <c r="B23" s="48" t="s">
        <v>188</v>
      </c>
      <c r="C23" s="48" t="s">
        <v>189</v>
      </c>
      <c r="D23" s="49" t="s">
        <v>190</v>
      </c>
      <c r="E23" s="49">
        <v>6</v>
      </c>
      <c r="F23" s="49">
        <v>8</v>
      </c>
      <c r="G23" s="49">
        <v>8</v>
      </c>
      <c r="H23" s="1">
        <v>22</v>
      </c>
      <c r="I23" s="1" t="s">
        <v>197</v>
      </c>
    </row>
    <row r="24" spans="1:9">
      <c r="A24" s="47">
        <v>11</v>
      </c>
      <c r="B24" s="48" t="s">
        <v>194</v>
      </c>
      <c r="C24" s="48" t="s">
        <v>195</v>
      </c>
      <c r="D24" s="49" t="s">
        <v>196</v>
      </c>
      <c r="E24" s="49">
        <v>10</v>
      </c>
      <c r="F24" s="49">
        <v>9</v>
      </c>
      <c r="G24" s="49">
        <v>9</v>
      </c>
      <c r="H24" s="1">
        <v>28</v>
      </c>
      <c r="I24" s="1" t="s">
        <v>197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BT1</vt:lpstr>
      <vt:lpstr>BT2</vt:lpstr>
      <vt:lpstr>BT3</vt:lpstr>
      <vt:lpstr>BT4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CICT</dc:creator>
  <cp:lastModifiedBy>Admin</cp:lastModifiedBy>
  <dcterms:created xsi:type="dcterms:W3CDTF">2023-10-31T00:37:27Z</dcterms:created>
  <dcterms:modified xsi:type="dcterms:W3CDTF">2023-11-02T12:15:17Z</dcterms:modified>
</cp:coreProperties>
</file>